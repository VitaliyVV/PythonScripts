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4505" yWindow="-15" windowWidth="14340" windowHeight="12795" firstSheet="22" activeTab="25"/>
  </bookViews>
  <sheets>
    <sheet name="Список функций" sheetId="4" r:id="rId1"/>
    <sheet name="1 Каталог" sheetId="1" r:id="rId2"/>
    <sheet name="2 РТМ 26-02-67-84" sheetId="2" r:id="rId3"/>
    <sheet name="ОЛ Горелки" sheetId="7" r:id="rId4"/>
    <sheet name="Tubes" sheetId="5" r:id="rId5"/>
    <sheet name="Burner" sheetId="8" r:id="rId6"/>
    <sheet name="Fuel" sheetId="3" r:id="rId7"/>
    <sheet name="Stream" sheetId="19" r:id="rId8"/>
    <sheet name="Комплексный подбор змеевика" sheetId="21" r:id="rId9"/>
    <sheet name="Выбор горелок и топки" sheetId="22" r:id="rId10"/>
    <sheet name="ГеомЦилТопки" sheetId="10" r:id="rId11"/>
    <sheet name="Типы расчетов печи" sheetId="18" r:id="rId12"/>
    <sheet name="Расчет печи 1" sheetId="9" r:id="rId13"/>
    <sheet name="Типы расчетов ВП" sheetId="17" r:id="rId14"/>
    <sheet name="Stream 1" sheetId="24" r:id="rId15"/>
    <sheet name="Stream 2" sheetId="25" r:id="rId16"/>
    <sheet name="Расчет ВП 1" sheetId="16" r:id="rId17"/>
    <sheet name="Расчет ВП 2" sheetId="20" r:id="rId18"/>
    <sheet name="Расчет ВП 9" sheetId="27" r:id="rId19"/>
    <sheet name="Расчет ВП 10" sheetId="26" r:id="rId20"/>
    <sheet name="ГеомКорТопки" sheetId="11" r:id="rId21"/>
    <sheet name="Расчет газохода и трубы" sheetId="13" r:id="rId22"/>
    <sheet name="Масса печи расчет" sheetId="14" r:id="rId23"/>
    <sheet name="Масса Печи" sheetId="12" r:id="rId24"/>
    <sheet name="Wсм" sheetId="15" r:id="rId25"/>
    <sheet name="Расчет футеровки" sheetId="28" r:id="rId26"/>
  </sheets>
  <functionGroups/>
  <definedNames>
    <definedName name="G_mass" localSheetId="4">Tubes!$B$4</definedName>
    <definedName name="G_mass" localSheetId="8">'Комплексный подбор змеевика'!$B$4</definedName>
    <definedName name="KPZ_Gm">'Комплексный подбор змеевика'!$C$4</definedName>
    <definedName name="KPZ_ro1_kz">'Комплексный подбор змеевика'!$C$19</definedName>
    <definedName name="KPZ_ro1_r2z">'Комплексный подбор змеевика'!$C$49</definedName>
    <definedName name="KPZ_ro1_rz">'Комплексный подбор змеевика'!$C$34</definedName>
    <definedName name="KPZ_ro2_kz">'Комплексный подбор змеевика'!$C$20</definedName>
    <definedName name="KPZ_ro2_r2z">'Комплексный подбор змеевика'!$C$50</definedName>
    <definedName name="KPZ_ro2_rz">'Комплексный подбор змеевика'!$C$35</definedName>
    <definedName name="ro_Pr" localSheetId="4">Tubes!$B$9</definedName>
    <definedName name="ro_Pr" localSheetId="8">'Комплексный подбор змеевика'!$B$9</definedName>
    <definedName name="ВыбГор_QFH">'Выбор горелок и топки'!$C$5</definedName>
    <definedName name="ВыбГор_qдоп_экр">'Выбор горелок и топки'!$C$6</definedName>
    <definedName name="ВыбГор_TypeBurner">'Выбор горелок и топки'!$C$7</definedName>
    <definedName name="ВыбГор_TypeFuel">'Выбор горелок и топки'!$C$8</definedName>
    <definedName name="ТипСжигТопл">'Расчет печи 1'!$C$7</definedName>
  </definedNames>
  <calcPr calcId="125725" iterate="1"/>
</workbook>
</file>

<file path=xl/calcChain.xml><?xml version="1.0" encoding="utf-8"?>
<calcChain xmlns="http://schemas.openxmlformats.org/spreadsheetml/2006/main">
  <c r="C224" i="9"/>
  <c r="C227" l="1"/>
  <c r="C197" i="28"/>
  <c r="C196"/>
  <c r="C198" s="1"/>
  <c r="C182"/>
  <c r="C163"/>
  <c r="C168"/>
  <c r="C199" l="1"/>
  <c r="C152"/>
  <c r="C133"/>
  <c r="C122"/>
  <c r="C103"/>
  <c r="C92"/>
  <c r="C73"/>
  <c r="C138"/>
  <c r="C108"/>
  <c r="C121"/>
  <c r="C78"/>
  <c r="C62" l="1"/>
  <c r="C43"/>
  <c r="C32"/>
  <c r="C48"/>
  <c r="C61"/>
  <c r="C13" l="1"/>
  <c r="C251" i="22"/>
  <c r="C226"/>
  <c r="K201"/>
  <c r="J201"/>
  <c r="I201"/>
  <c r="H201"/>
  <c r="G201"/>
  <c r="F201"/>
  <c r="E201"/>
  <c r="D201"/>
  <c r="K200"/>
  <c r="J200"/>
  <c r="I200"/>
  <c r="H200"/>
  <c r="G200"/>
  <c r="F200"/>
  <c r="E200"/>
  <c r="D200"/>
  <c r="K198"/>
  <c r="J198"/>
  <c r="I198"/>
  <c r="H198"/>
  <c r="G198"/>
  <c r="F198"/>
  <c r="E198"/>
  <c r="D198"/>
  <c r="K196"/>
  <c r="J196"/>
  <c r="I196"/>
  <c r="H196"/>
  <c r="G196"/>
  <c r="F196"/>
  <c r="E196"/>
  <c r="D196"/>
  <c r="K195"/>
  <c r="J195"/>
  <c r="I195"/>
  <c r="H195"/>
  <c r="G195"/>
  <c r="F195"/>
  <c r="E195"/>
  <c r="D195"/>
  <c r="C194"/>
  <c r="K193"/>
  <c r="J193"/>
  <c r="I193"/>
  <c r="H193"/>
  <c r="G193"/>
  <c r="F193"/>
  <c r="E193"/>
  <c r="D193"/>
  <c r="K192"/>
  <c r="G192"/>
  <c r="C192"/>
  <c r="K191"/>
  <c r="J191"/>
  <c r="I191"/>
  <c r="H191"/>
  <c r="G191"/>
  <c r="F191"/>
  <c r="E191"/>
  <c r="D191"/>
  <c r="D226" s="1"/>
  <c r="K190"/>
  <c r="K194" s="1"/>
  <c r="J190"/>
  <c r="J194" s="1"/>
  <c r="I190"/>
  <c r="I192" s="1"/>
  <c r="H190"/>
  <c r="H192" s="1"/>
  <c r="G190"/>
  <c r="G194" s="1"/>
  <c r="F190"/>
  <c r="F194" s="1"/>
  <c r="E190"/>
  <c r="E192" s="1"/>
  <c r="D190"/>
  <c r="D192" s="1"/>
  <c r="C181"/>
  <c r="C156"/>
  <c r="K131"/>
  <c r="J131"/>
  <c r="I131"/>
  <c r="H131"/>
  <c r="G131"/>
  <c r="F131"/>
  <c r="E131"/>
  <c r="D131"/>
  <c r="K130"/>
  <c r="J130"/>
  <c r="I130"/>
  <c r="H130"/>
  <c r="G130"/>
  <c r="F130"/>
  <c r="E130"/>
  <c r="D130"/>
  <c r="K128"/>
  <c r="J128"/>
  <c r="I128"/>
  <c r="H128"/>
  <c r="G128"/>
  <c r="F128"/>
  <c r="E128"/>
  <c r="D128"/>
  <c r="K126"/>
  <c r="K181" s="1"/>
  <c r="J126"/>
  <c r="I126"/>
  <c r="H126"/>
  <c r="G126"/>
  <c r="G181" s="1"/>
  <c r="F126"/>
  <c r="E126"/>
  <c r="D126"/>
  <c r="D181" s="1"/>
  <c r="K125"/>
  <c r="J125"/>
  <c r="I125"/>
  <c r="H125"/>
  <c r="G125"/>
  <c r="F125"/>
  <c r="E125"/>
  <c r="D125"/>
  <c r="C124"/>
  <c r="K123"/>
  <c r="J123"/>
  <c r="I123"/>
  <c r="H123"/>
  <c r="G123"/>
  <c r="F123"/>
  <c r="E123"/>
  <c r="D123"/>
  <c r="C122"/>
  <c r="K121"/>
  <c r="J121"/>
  <c r="I121"/>
  <c r="H121"/>
  <c r="G121"/>
  <c r="F121"/>
  <c r="E121"/>
  <c r="D121"/>
  <c r="K120"/>
  <c r="K122" s="1"/>
  <c r="J120"/>
  <c r="J124" s="1"/>
  <c r="I120"/>
  <c r="I122" s="1"/>
  <c r="H120"/>
  <c r="H124" s="1"/>
  <c r="G120"/>
  <c r="G122" s="1"/>
  <c r="F120"/>
  <c r="F124" s="1"/>
  <c r="E120"/>
  <c r="E122" s="1"/>
  <c r="D120"/>
  <c r="D124" s="1"/>
  <c r="C111"/>
  <c r="C86"/>
  <c r="C5"/>
  <c r="K61"/>
  <c r="J61"/>
  <c r="I61"/>
  <c r="H61"/>
  <c r="G61"/>
  <c r="F61"/>
  <c r="E61"/>
  <c r="D61"/>
  <c r="K60"/>
  <c r="J60"/>
  <c r="I60"/>
  <c r="H60"/>
  <c r="G60"/>
  <c r="F60"/>
  <c r="E60"/>
  <c r="D60"/>
  <c r="C100" i="14"/>
  <c r="C108"/>
  <c r="D21" i="10"/>
  <c r="E21"/>
  <c r="C21"/>
  <c r="K58" i="22"/>
  <c r="J58"/>
  <c r="I58"/>
  <c r="H58"/>
  <c r="G58"/>
  <c r="F58"/>
  <c r="E58"/>
  <c r="D58"/>
  <c r="K56"/>
  <c r="J56"/>
  <c r="I56"/>
  <c r="H56"/>
  <c r="G56"/>
  <c r="F56"/>
  <c r="E56"/>
  <c r="D56"/>
  <c r="K55"/>
  <c r="J55"/>
  <c r="I55"/>
  <c r="H55"/>
  <c r="G55"/>
  <c r="F55"/>
  <c r="E55"/>
  <c r="D55"/>
  <c r="K53"/>
  <c r="J53"/>
  <c r="I53"/>
  <c r="H53"/>
  <c r="G53"/>
  <c r="F53"/>
  <c r="E53"/>
  <c r="D53"/>
  <c r="D51"/>
  <c r="E51"/>
  <c r="F51"/>
  <c r="G51"/>
  <c r="H51"/>
  <c r="I51"/>
  <c r="J51"/>
  <c r="K51"/>
  <c r="K50"/>
  <c r="J50"/>
  <c r="I50"/>
  <c r="H50"/>
  <c r="G50"/>
  <c r="F50"/>
  <c r="E50"/>
  <c r="D50"/>
  <c r="G52"/>
  <c r="C54"/>
  <c r="C52"/>
  <c r="J5" i="8"/>
  <c r="K5"/>
  <c r="J7"/>
  <c r="K7"/>
  <c r="K22" s="1"/>
  <c r="J17"/>
  <c r="K17"/>
  <c r="J19"/>
  <c r="K19"/>
  <c r="J22"/>
  <c r="C3"/>
  <c r="D3" s="1"/>
  <c r="E3" s="1"/>
  <c r="F3" s="1"/>
  <c r="G3" s="1"/>
  <c r="H3" s="1"/>
  <c r="I3" s="1"/>
  <c r="J3" s="1"/>
  <c r="K3" s="1"/>
  <c r="E5"/>
  <c r="F5" s="1"/>
  <c r="G5" s="1"/>
  <c r="H5" s="1"/>
  <c r="I5" s="1"/>
  <c r="E7"/>
  <c r="F7"/>
  <c r="G7" s="1"/>
  <c r="D7"/>
  <c r="D22" s="1"/>
  <c r="D5"/>
  <c r="D17"/>
  <c r="E17"/>
  <c r="F17"/>
  <c r="G17"/>
  <c r="H17"/>
  <c r="I17"/>
  <c r="D19"/>
  <c r="E19"/>
  <c r="F19"/>
  <c r="G19"/>
  <c r="H19"/>
  <c r="I19"/>
  <c r="C416" i="9"/>
  <c r="C415"/>
  <c r="C407"/>
  <c r="C406"/>
  <c r="C276"/>
  <c r="C34"/>
  <c r="C90"/>
  <c r="D177" i="27"/>
  <c r="C173"/>
  <c r="C116"/>
  <c r="C146"/>
  <c r="D117"/>
  <c r="C117"/>
  <c r="C141"/>
  <c r="C31" i="28"/>
  <c r="C116" i="26"/>
  <c r="E141"/>
  <c r="C117"/>
  <c r="E152"/>
  <c r="C83"/>
  <c r="E141" i="27"/>
  <c r="C147"/>
  <c r="D116"/>
  <c r="E152"/>
  <c r="C148"/>
  <c r="C145"/>
  <c r="C69" i="9"/>
  <c r="C70"/>
  <c r="J181" i="22" l="1"/>
  <c r="H226"/>
  <c r="E181"/>
  <c r="I181"/>
  <c r="G226"/>
  <c r="K226"/>
  <c r="G251"/>
  <c r="K251"/>
  <c r="H181"/>
  <c r="F226"/>
  <c r="J226"/>
  <c r="E226"/>
  <c r="I226"/>
  <c r="F181"/>
  <c r="F251"/>
  <c r="J251"/>
  <c r="F192"/>
  <c r="J192"/>
  <c r="E194"/>
  <c r="I194"/>
  <c r="E251"/>
  <c r="I251"/>
  <c r="D194"/>
  <c r="H194"/>
  <c r="D251"/>
  <c r="H251"/>
  <c r="G156"/>
  <c r="K156"/>
  <c r="F156"/>
  <c r="J156"/>
  <c r="E156"/>
  <c r="I156"/>
  <c r="D156"/>
  <c r="H156"/>
  <c r="D122"/>
  <c r="H122"/>
  <c r="G124"/>
  <c r="K124"/>
  <c r="F122"/>
  <c r="J122"/>
  <c r="E124"/>
  <c r="I124"/>
  <c r="I86"/>
  <c r="K86"/>
  <c r="G86"/>
  <c r="D111"/>
  <c r="H111"/>
  <c r="H86"/>
  <c r="D86"/>
  <c r="G111"/>
  <c r="K111"/>
  <c r="E86"/>
  <c r="F111"/>
  <c r="J111"/>
  <c r="J86"/>
  <c r="F86"/>
  <c r="E111"/>
  <c r="I111"/>
  <c r="E54"/>
  <c r="D54"/>
  <c r="G54"/>
  <c r="D52"/>
  <c r="F54"/>
  <c r="F52"/>
  <c r="I52"/>
  <c r="I54"/>
  <c r="E52"/>
  <c r="G22" i="8"/>
  <c r="H7"/>
  <c r="E22"/>
  <c r="F22"/>
  <c r="F118" i="27"/>
  <c r="C150"/>
  <c r="C152" i="26"/>
  <c r="E149" i="27"/>
  <c r="K52" i="22" l="1"/>
  <c r="K54"/>
  <c r="H54"/>
  <c r="H52"/>
  <c r="J54"/>
  <c r="J52"/>
  <c r="I7" i="8"/>
  <c r="I22" s="1"/>
  <c r="H22"/>
  <c r="E151" i="27"/>
  <c r="E121"/>
  <c r="E120"/>
  <c r="E153"/>
  <c r="E127" l="1"/>
  <c r="C120"/>
  <c r="E116"/>
  <c r="E123" s="1"/>
  <c r="E124" s="1"/>
  <c r="C118" l="1"/>
  <c r="F161"/>
  <c r="E126"/>
  <c r="E129" s="1"/>
  <c r="E114"/>
  <c r="C114"/>
  <c r="E113"/>
  <c r="C113"/>
  <c r="E104"/>
  <c r="E158"/>
  <c r="C152"/>
  <c r="C158"/>
  <c r="E186"/>
  <c r="C121" l="1"/>
  <c r="C127" s="1"/>
  <c r="C123"/>
  <c r="C124" s="1"/>
  <c r="B116"/>
  <c r="B103"/>
  <c r="F102"/>
  <c r="C104"/>
  <c r="C149"/>
  <c r="C186"/>
  <c r="C151" l="1"/>
  <c r="D161"/>
  <c r="C126"/>
  <c r="C129" s="1"/>
  <c r="F101"/>
  <c r="D101"/>
  <c r="C49"/>
  <c r="C34"/>
  <c r="C30"/>
  <c r="C32" s="1"/>
  <c r="C27"/>
  <c r="C26"/>
  <c r="C28" s="1"/>
  <c r="C20" s="1"/>
  <c r="C17"/>
  <c r="C89"/>
  <c r="D102"/>
  <c r="C83"/>
  <c r="C153"/>
  <c r="C88"/>
  <c r="C21" l="1"/>
  <c r="C22"/>
  <c r="C91"/>
  <c r="F8" s="1"/>
  <c r="C11"/>
  <c r="C10"/>
  <c r="C8"/>
  <c r="C9" s="1"/>
  <c r="C113" i="16"/>
  <c r="D177" i="26"/>
  <c r="C173"/>
  <c r="E121"/>
  <c r="E120"/>
  <c r="E116"/>
  <c r="E123" s="1"/>
  <c r="E124" s="1"/>
  <c r="C88"/>
  <c r="C147"/>
  <c r="C148"/>
  <c r="C146"/>
  <c r="C145"/>
  <c r="C89"/>
  <c r="C23" i="27" l="1"/>
  <c r="E127" i="26"/>
  <c r="C150"/>
  <c r="F161"/>
  <c r="E126"/>
  <c r="E129" s="1"/>
  <c r="E114"/>
  <c r="C114"/>
  <c r="E113"/>
  <c r="C113"/>
  <c r="F101"/>
  <c r="D101"/>
  <c r="C30"/>
  <c r="C32" s="1"/>
  <c r="C27"/>
  <c r="C26"/>
  <c r="C17"/>
  <c r="E104"/>
  <c r="F102"/>
  <c r="D102"/>
  <c r="C104"/>
  <c r="C158"/>
  <c r="E158"/>
  <c r="C28" l="1"/>
  <c r="C20" s="1"/>
  <c r="C11"/>
  <c r="C10"/>
  <c r="C8"/>
  <c r="C9" s="1"/>
  <c r="Z148" i="25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E85"/>
  <c r="D85"/>
  <c r="C85"/>
  <c r="C80"/>
  <c r="C22" i="26" l="1"/>
  <c r="C21"/>
  <c r="Z148" i="24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E85"/>
  <c r="D85"/>
  <c r="C85"/>
  <c r="C20" i="2"/>
  <c r="C19"/>
  <c r="F483" i="9"/>
  <c r="C483"/>
  <c r="C214" i="21"/>
  <c r="J203"/>
  <c r="J225" s="1"/>
  <c r="J245" s="1"/>
  <c r="J265" s="1"/>
  <c r="J204"/>
  <c r="J226" s="1"/>
  <c r="J246" s="1"/>
  <c r="J266" s="1"/>
  <c r="J205"/>
  <c r="J227" s="1"/>
  <c r="J247" s="1"/>
  <c r="J267" s="1"/>
  <c r="J206"/>
  <c r="J228" s="1"/>
  <c r="J248" s="1"/>
  <c r="J268" s="1"/>
  <c r="J207"/>
  <c r="J229" s="1"/>
  <c r="J249" s="1"/>
  <c r="J269" s="1"/>
  <c r="J208"/>
  <c r="J230" s="1"/>
  <c r="J250" s="1"/>
  <c r="J270" s="1"/>
  <c r="J209"/>
  <c r="J231" s="1"/>
  <c r="J251" s="1"/>
  <c r="J271" s="1"/>
  <c r="J210"/>
  <c r="J232" s="1"/>
  <c r="J252" s="1"/>
  <c r="J272" s="1"/>
  <c r="J211"/>
  <c r="J233" s="1"/>
  <c r="J253" s="1"/>
  <c r="J273" s="1"/>
  <c r="J212"/>
  <c r="J234" s="1"/>
  <c r="J254" s="1"/>
  <c r="J274" s="1"/>
  <c r="J213"/>
  <c r="J235" s="1"/>
  <c r="J255" s="1"/>
  <c r="J275" s="1"/>
  <c r="J214"/>
  <c r="J236" s="1"/>
  <c r="J256" s="1"/>
  <c r="J276" s="1"/>
  <c r="J215"/>
  <c r="J237" s="1"/>
  <c r="J257" s="1"/>
  <c r="J277" s="1"/>
  <c r="J216"/>
  <c r="J238" s="1"/>
  <c r="J258" s="1"/>
  <c r="J278" s="1"/>
  <c r="J217"/>
  <c r="J239" s="1"/>
  <c r="J259" s="1"/>
  <c r="J279" s="1"/>
  <c r="J202"/>
  <c r="J224" s="1"/>
  <c r="J244" s="1"/>
  <c r="J264" s="1"/>
  <c r="G203"/>
  <c r="G225" s="1"/>
  <c r="G245" s="1"/>
  <c r="G265" s="1"/>
  <c r="G204"/>
  <c r="G226" s="1"/>
  <c r="G246" s="1"/>
  <c r="G266" s="1"/>
  <c r="G205"/>
  <c r="G227" s="1"/>
  <c r="G247" s="1"/>
  <c r="G267" s="1"/>
  <c r="G206"/>
  <c r="G228" s="1"/>
  <c r="G248" s="1"/>
  <c r="G268" s="1"/>
  <c r="G207"/>
  <c r="G229" s="1"/>
  <c r="G249" s="1"/>
  <c r="G269" s="1"/>
  <c r="G208"/>
  <c r="G230" s="1"/>
  <c r="G250" s="1"/>
  <c r="G270" s="1"/>
  <c r="G209"/>
  <c r="G231" s="1"/>
  <c r="G251" s="1"/>
  <c r="G271" s="1"/>
  <c r="G210"/>
  <c r="G232" s="1"/>
  <c r="G252" s="1"/>
  <c r="G272" s="1"/>
  <c r="G211"/>
  <c r="G233" s="1"/>
  <c r="G253" s="1"/>
  <c r="G273" s="1"/>
  <c r="G212"/>
  <c r="G234" s="1"/>
  <c r="G254" s="1"/>
  <c r="G274" s="1"/>
  <c r="G213"/>
  <c r="G235" s="1"/>
  <c r="G255" s="1"/>
  <c r="G275" s="1"/>
  <c r="G214"/>
  <c r="G236" s="1"/>
  <c r="G256" s="1"/>
  <c r="G276" s="1"/>
  <c r="G215"/>
  <c r="G237" s="1"/>
  <c r="G257" s="1"/>
  <c r="G277" s="1"/>
  <c r="G216"/>
  <c r="G238" s="1"/>
  <c r="G258" s="1"/>
  <c r="G278" s="1"/>
  <c r="G217"/>
  <c r="G239" s="1"/>
  <c r="G259" s="1"/>
  <c r="G279" s="1"/>
  <c r="G202"/>
  <c r="G224" s="1"/>
  <c r="G244" s="1"/>
  <c r="G264" s="1"/>
  <c r="J142"/>
  <c r="J162" s="1"/>
  <c r="J143"/>
  <c r="J183" s="1"/>
  <c r="J144"/>
  <c r="J184" s="1"/>
  <c r="J145"/>
  <c r="J185" s="1"/>
  <c r="J146"/>
  <c r="J186" s="1"/>
  <c r="J147"/>
  <c r="J187" s="1"/>
  <c r="J148"/>
  <c r="J188" s="1"/>
  <c r="J149"/>
  <c r="J189" s="1"/>
  <c r="J150"/>
  <c r="J190" s="1"/>
  <c r="J151"/>
  <c r="J191" s="1"/>
  <c r="J152"/>
  <c r="J192" s="1"/>
  <c r="J153"/>
  <c r="J193" s="1"/>
  <c r="J154"/>
  <c r="J174" s="1"/>
  <c r="J155"/>
  <c r="J195" s="1"/>
  <c r="J156"/>
  <c r="J196" s="1"/>
  <c r="J141"/>
  <c r="J181" s="1"/>
  <c r="G142"/>
  <c r="G162" s="1"/>
  <c r="G143"/>
  <c r="G183" s="1"/>
  <c r="G144"/>
  <c r="G184" s="1"/>
  <c r="G145"/>
  <c r="G185" s="1"/>
  <c r="G146"/>
  <c r="G166" s="1"/>
  <c r="G147"/>
  <c r="G187" s="1"/>
  <c r="G148"/>
  <c r="G188" s="1"/>
  <c r="G149"/>
  <c r="G189" s="1"/>
  <c r="G150"/>
  <c r="G170" s="1"/>
  <c r="G151"/>
  <c r="G191" s="1"/>
  <c r="G152"/>
  <c r="G192" s="1"/>
  <c r="G153"/>
  <c r="G193" s="1"/>
  <c r="G154"/>
  <c r="G174" s="1"/>
  <c r="G155"/>
  <c r="G195" s="1"/>
  <c r="G156"/>
  <c r="G196" s="1"/>
  <c r="G141"/>
  <c r="G181" s="1"/>
  <c r="J120"/>
  <c r="J121"/>
  <c r="J122"/>
  <c r="J123"/>
  <c r="J124"/>
  <c r="J125"/>
  <c r="J126"/>
  <c r="J127"/>
  <c r="J128"/>
  <c r="J129"/>
  <c r="J130"/>
  <c r="J131"/>
  <c r="J132"/>
  <c r="J133"/>
  <c r="J134"/>
  <c r="J119"/>
  <c r="G120"/>
  <c r="G121"/>
  <c r="G122"/>
  <c r="G123"/>
  <c r="G124"/>
  <c r="G125"/>
  <c r="G126"/>
  <c r="G127"/>
  <c r="G128"/>
  <c r="G129"/>
  <c r="G130"/>
  <c r="G131"/>
  <c r="G132"/>
  <c r="G133"/>
  <c r="G134"/>
  <c r="G119"/>
  <c r="J100"/>
  <c r="J101"/>
  <c r="J102"/>
  <c r="J103"/>
  <c r="J104"/>
  <c r="J105"/>
  <c r="J106"/>
  <c r="J107"/>
  <c r="J108"/>
  <c r="J109"/>
  <c r="J110"/>
  <c r="J111"/>
  <c r="J112"/>
  <c r="J113"/>
  <c r="J114"/>
  <c r="J99"/>
  <c r="G100"/>
  <c r="G101"/>
  <c r="G102"/>
  <c r="G103"/>
  <c r="G104"/>
  <c r="G105"/>
  <c r="G106"/>
  <c r="G107"/>
  <c r="G108"/>
  <c r="G109"/>
  <c r="G110"/>
  <c r="G111"/>
  <c r="G112"/>
  <c r="G113"/>
  <c r="G114"/>
  <c r="G99"/>
  <c r="J80"/>
  <c r="J81"/>
  <c r="J82"/>
  <c r="J83"/>
  <c r="J84"/>
  <c r="J85"/>
  <c r="J86"/>
  <c r="J87"/>
  <c r="J88"/>
  <c r="J89"/>
  <c r="J90"/>
  <c r="J91"/>
  <c r="J92"/>
  <c r="J93"/>
  <c r="J94"/>
  <c r="J79"/>
  <c r="G80"/>
  <c r="G81"/>
  <c r="G82"/>
  <c r="G83"/>
  <c r="G84"/>
  <c r="G85"/>
  <c r="G86"/>
  <c r="G87"/>
  <c r="G88"/>
  <c r="G89"/>
  <c r="G90"/>
  <c r="G91"/>
  <c r="G92"/>
  <c r="G93"/>
  <c r="G94"/>
  <c r="G79"/>
  <c r="J58"/>
  <c r="J59"/>
  <c r="J60"/>
  <c r="J61"/>
  <c r="J62"/>
  <c r="J63"/>
  <c r="J64"/>
  <c r="J65"/>
  <c r="J66"/>
  <c r="J67"/>
  <c r="J68"/>
  <c r="J69"/>
  <c r="J70"/>
  <c r="J71"/>
  <c r="J72"/>
  <c r="J57"/>
  <c r="G58"/>
  <c r="G59"/>
  <c r="G60"/>
  <c r="G61"/>
  <c r="G62"/>
  <c r="G63"/>
  <c r="G64"/>
  <c r="G65"/>
  <c r="G66"/>
  <c r="G67"/>
  <c r="G68"/>
  <c r="G69"/>
  <c r="G70"/>
  <c r="G71"/>
  <c r="G72"/>
  <c r="G57"/>
  <c r="C23"/>
  <c r="C82" i="26"/>
  <c r="C136" i="27"/>
  <c r="C82"/>
  <c r="C134" i="26"/>
  <c r="C137"/>
  <c r="C137" i="27"/>
  <c r="C81"/>
  <c r="C81" i="26"/>
  <c r="C135"/>
  <c r="C135" i="27"/>
  <c r="C134"/>
  <c r="C80" i="24"/>
  <c r="C136" i="26"/>
  <c r="C139" i="27" l="1"/>
  <c r="C139" i="26"/>
  <c r="C23"/>
  <c r="G172" i="21"/>
  <c r="G164"/>
  <c r="G175"/>
  <c r="G171"/>
  <c r="G163"/>
  <c r="G167"/>
  <c r="G176"/>
  <c r="G168"/>
  <c r="J170"/>
  <c r="J166"/>
  <c r="G194"/>
  <c r="G190"/>
  <c r="G186"/>
  <c r="G182"/>
  <c r="J194"/>
  <c r="J182"/>
  <c r="J175"/>
  <c r="J171"/>
  <c r="J167"/>
  <c r="J163"/>
  <c r="J161"/>
  <c r="G173"/>
  <c r="G169"/>
  <c r="G165"/>
  <c r="J176"/>
  <c r="J172"/>
  <c r="J168"/>
  <c r="J164"/>
  <c r="G161"/>
  <c r="J173"/>
  <c r="J169"/>
  <c r="J165"/>
  <c r="C4"/>
  <c r="P21"/>
  <c r="O21"/>
  <c r="N21"/>
  <c r="M21"/>
  <c r="L21"/>
  <c r="P20"/>
  <c r="O20"/>
  <c r="N20"/>
  <c r="M20"/>
  <c r="L20"/>
  <c r="P19"/>
  <c r="O19"/>
  <c r="N19"/>
  <c r="M19"/>
  <c r="L19"/>
  <c r="P18"/>
  <c r="O18"/>
  <c r="N18"/>
  <c r="M18"/>
  <c r="L18"/>
  <c r="P17"/>
  <c r="O17"/>
  <c r="N17"/>
  <c r="M17"/>
  <c r="L17"/>
  <c r="P16"/>
  <c r="O16"/>
  <c r="N16"/>
  <c r="M16"/>
  <c r="L16"/>
  <c r="P15"/>
  <c r="O15"/>
  <c r="N15"/>
  <c r="M15"/>
  <c r="L15"/>
  <c r="P14"/>
  <c r="O14"/>
  <c r="N14"/>
  <c r="M14"/>
  <c r="L14"/>
  <c r="P13"/>
  <c r="O13"/>
  <c r="N13"/>
  <c r="M13"/>
  <c r="L13"/>
  <c r="P12"/>
  <c r="O12"/>
  <c r="N12"/>
  <c r="M12"/>
  <c r="L12"/>
  <c r="P11"/>
  <c r="O11"/>
  <c r="N11"/>
  <c r="M11"/>
  <c r="L11"/>
  <c r="P10"/>
  <c r="O10"/>
  <c r="N10"/>
  <c r="M10"/>
  <c r="L10"/>
  <c r="P9"/>
  <c r="O9"/>
  <c r="N9"/>
  <c r="M9"/>
  <c r="L9"/>
  <c r="P8"/>
  <c r="O8"/>
  <c r="N8"/>
  <c r="M8"/>
  <c r="L8"/>
  <c r="P7"/>
  <c r="O7"/>
  <c r="N7"/>
  <c r="M7"/>
  <c r="L7"/>
  <c r="P6"/>
  <c r="O6"/>
  <c r="N6"/>
  <c r="M6"/>
  <c r="L6"/>
  <c r="D131" i="19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C130"/>
  <c r="C129"/>
  <c r="C128"/>
  <c r="C127"/>
  <c r="C126"/>
  <c r="C125"/>
  <c r="C124"/>
  <c r="C123"/>
  <c r="C122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C121"/>
  <c r="C120"/>
  <c r="C119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D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C118"/>
  <c r="C117"/>
  <c r="C116"/>
  <c r="E85"/>
  <c r="D85"/>
  <c r="C85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C115"/>
  <c r="C114"/>
  <c r="C113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C112"/>
  <c r="C111"/>
  <c r="C110"/>
  <c r="D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C109"/>
  <c r="C108"/>
  <c r="C107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C106"/>
  <c r="C105"/>
  <c r="C104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C103"/>
  <c r="C102"/>
  <c r="C101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C100"/>
  <c r="C99"/>
  <c r="C98"/>
  <c r="C97"/>
  <c r="C96"/>
  <c r="C95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C94"/>
  <c r="C93"/>
  <c r="C92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C91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C90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C89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C88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C87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C86"/>
  <c r="C369" i="9"/>
  <c r="D27"/>
  <c r="C367"/>
  <c r="C470"/>
  <c r="C138" i="27"/>
  <c r="C20" i="21"/>
  <c r="C10"/>
  <c r="C80" i="19"/>
  <c r="C50" i="21"/>
  <c r="C48"/>
  <c r="C49"/>
  <c r="C18"/>
  <c r="C40"/>
  <c r="C19"/>
  <c r="E138" i="27"/>
  <c r="C184"/>
  <c r="C142"/>
  <c r="C172"/>
  <c r="E184"/>
  <c r="G328" i="9"/>
  <c r="G432"/>
  <c r="G433"/>
  <c r="G327"/>
  <c r="C24"/>
  <c r="C21"/>
  <c r="C174" i="27" l="1"/>
  <c r="C156"/>
  <c r="C159" s="1"/>
  <c r="C167" s="1"/>
  <c r="C178"/>
  <c r="E140"/>
  <c r="C140"/>
  <c r="C13" i="21"/>
  <c r="C43"/>
  <c r="C41" s="1"/>
  <c r="C5"/>
  <c r="D3" i="22" s="1"/>
  <c r="N102" i="21"/>
  <c r="P104"/>
  <c r="M107"/>
  <c r="O244"/>
  <c r="N245"/>
  <c r="M246"/>
  <c r="L247"/>
  <c r="P247"/>
  <c r="O248"/>
  <c r="N249"/>
  <c r="M250"/>
  <c r="L251"/>
  <c r="P251"/>
  <c r="O252"/>
  <c r="N253"/>
  <c r="M254"/>
  <c r="L255"/>
  <c r="P255"/>
  <c r="O256"/>
  <c r="N257"/>
  <c r="M258"/>
  <c r="L259"/>
  <c r="P259"/>
  <c r="O225"/>
  <c r="N226"/>
  <c r="M227"/>
  <c r="L228"/>
  <c r="P228"/>
  <c r="O229"/>
  <c r="N230"/>
  <c r="M231"/>
  <c r="L232"/>
  <c r="P232"/>
  <c r="O233"/>
  <c r="N234"/>
  <c r="M235"/>
  <c r="L236"/>
  <c r="P236"/>
  <c r="O237"/>
  <c r="N238"/>
  <c r="M239"/>
  <c r="M224"/>
  <c r="L224"/>
  <c r="P202"/>
  <c r="P203"/>
  <c r="P204"/>
  <c r="P205"/>
  <c r="P206"/>
  <c r="P207"/>
  <c r="P208"/>
  <c r="P209"/>
  <c r="P210"/>
  <c r="P211"/>
  <c r="P212"/>
  <c r="P213"/>
  <c r="P214"/>
  <c r="P215"/>
  <c r="P216"/>
  <c r="P217"/>
  <c r="L206"/>
  <c r="L210"/>
  <c r="L214"/>
  <c r="L202"/>
  <c r="O228"/>
  <c r="P224"/>
  <c r="O204"/>
  <c r="O206"/>
  <c r="O208"/>
  <c r="O211"/>
  <c r="O213"/>
  <c r="O215"/>
  <c r="L205"/>
  <c r="L213"/>
  <c r="N244"/>
  <c r="M245"/>
  <c r="L246"/>
  <c r="P246"/>
  <c r="O247"/>
  <c r="N248"/>
  <c r="M249"/>
  <c r="L250"/>
  <c r="P250"/>
  <c r="O251"/>
  <c r="N252"/>
  <c r="M253"/>
  <c r="L254"/>
  <c r="P254"/>
  <c r="O255"/>
  <c r="N256"/>
  <c r="M257"/>
  <c r="L258"/>
  <c r="P258"/>
  <c r="O259"/>
  <c r="M226"/>
  <c r="M266" s="1"/>
  <c r="L227"/>
  <c r="L267" s="1"/>
  <c r="P227"/>
  <c r="P267" s="1"/>
  <c r="N229"/>
  <c r="M230"/>
  <c r="L231"/>
  <c r="P231"/>
  <c r="O232"/>
  <c r="N233"/>
  <c r="M234"/>
  <c r="L235"/>
  <c r="P235"/>
  <c r="O236"/>
  <c r="N237"/>
  <c r="M238"/>
  <c r="L239"/>
  <c r="P239"/>
  <c r="O203"/>
  <c r="O209"/>
  <c r="O216"/>
  <c r="M244"/>
  <c r="L245"/>
  <c r="P245"/>
  <c r="O246"/>
  <c r="N247"/>
  <c r="M248"/>
  <c r="L249"/>
  <c r="P249"/>
  <c r="O250"/>
  <c r="N251"/>
  <c r="M252"/>
  <c r="L253"/>
  <c r="P253"/>
  <c r="O254"/>
  <c r="N255"/>
  <c r="M256"/>
  <c r="L257"/>
  <c r="P257"/>
  <c r="O258"/>
  <c r="N259"/>
  <c r="M225"/>
  <c r="L226"/>
  <c r="P226"/>
  <c r="O227"/>
  <c r="N228"/>
  <c r="M229"/>
  <c r="L230"/>
  <c r="P230"/>
  <c r="O231"/>
  <c r="N232"/>
  <c r="M233"/>
  <c r="L234"/>
  <c r="P234"/>
  <c r="O235"/>
  <c r="N236"/>
  <c r="M237"/>
  <c r="L238"/>
  <c r="P238"/>
  <c r="O239"/>
  <c r="O224"/>
  <c r="N202"/>
  <c r="N203"/>
  <c r="N204"/>
  <c r="N205"/>
  <c r="N206"/>
  <c r="N207"/>
  <c r="N208"/>
  <c r="N209"/>
  <c r="N210"/>
  <c r="N211"/>
  <c r="N212"/>
  <c r="N213"/>
  <c r="N214"/>
  <c r="N215"/>
  <c r="N216"/>
  <c r="N217"/>
  <c r="L204"/>
  <c r="L208"/>
  <c r="L212"/>
  <c r="L216"/>
  <c r="L244"/>
  <c r="P244"/>
  <c r="O245"/>
  <c r="N246"/>
  <c r="M247"/>
  <c r="L248"/>
  <c r="P248"/>
  <c r="O249"/>
  <c r="N250"/>
  <c r="M251"/>
  <c r="L252"/>
  <c r="P252"/>
  <c r="O253"/>
  <c r="N254"/>
  <c r="M255"/>
  <c r="L256"/>
  <c r="P256"/>
  <c r="O257"/>
  <c r="N258"/>
  <c r="M259"/>
  <c r="L225"/>
  <c r="P225"/>
  <c r="O226"/>
  <c r="N227"/>
  <c r="M228"/>
  <c r="L229"/>
  <c r="P229"/>
  <c r="O230"/>
  <c r="N231"/>
  <c r="M232"/>
  <c r="L233"/>
  <c r="P233"/>
  <c r="O234"/>
  <c r="N235"/>
  <c r="M236"/>
  <c r="L237"/>
  <c r="P237"/>
  <c r="O238"/>
  <c r="N239"/>
  <c r="N224"/>
  <c r="M202"/>
  <c r="M203"/>
  <c r="M204"/>
  <c r="M205"/>
  <c r="M206"/>
  <c r="M207"/>
  <c r="M208"/>
  <c r="M209"/>
  <c r="M210"/>
  <c r="M211"/>
  <c r="M212"/>
  <c r="M213"/>
  <c r="M214"/>
  <c r="M215"/>
  <c r="M216"/>
  <c r="M217"/>
  <c r="L203"/>
  <c r="L207"/>
  <c r="L211"/>
  <c r="L215"/>
  <c r="N225"/>
  <c r="O202"/>
  <c r="O205"/>
  <c r="O207"/>
  <c r="O210"/>
  <c r="O212"/>
  <c r="O214"/>
  <c r="O217"/>
  <c r="L209"/>
  <c r="L217"/>
  <c r="L110"/>
  <c r="P110"/>
  <c r="O111"/>
  <c r="N112"/>
  <c r="M113"/>
  <c r="L101"/>
  <c r="P101"/>
  <c r="O102"/>
  <c r="N103"/>
  <c r="M104"/>
  <c r="P61"/>
  <c r="P65"/>
  <c r="P69"/>
  <c r="O58"/>
  <c r="O62"/>
  <c r="O66"/>
  <c r="O70"/>
  <c r="N59"/>
  <c r="N63"/>
  <c r="N67"/>
  <c r="N71"/>
  <c r="M60"/>
  <c r="M64"/>
  <c r="M68"/>
  <c r="M72"/>
  <c r="P57"/>
  <c r="L61"/>
  <c r="L65"/>
  <c r="L69"/>
  <c r="L57"/>
  <c r="P58"/>
  <c r="P66"/>
  <c r="O59"/>
  <c r="O67"/>
  <c r="N60"/>
  <c r="N68"/>
  <c r="M61"/>
  <c r="M69"/>
  <c r="L58"/>
  <c r="L66"/>
  <c r="P60"/>
  <c r="P64"/>
  <c r="P68"/>
  <c r="P72"/>
  <c r="O61"/>
  <c r="O65"/>
  <c r="O69"/>
  <c r="N58"/>
  <c r="N62"/>
  <c r="N66"/>
  <c r="N70"/>
  <c r="M59"/>
  <c r="M63"/>
  <c r="M67"/>
  <c r="M71"/>
  <c r="O57"/>
  <c r="L60"/>
  <c r="L64"/>
  <c r="L68"/>
  <c r="L72"/>
  <c r="L79"/>
  <c r="P59"/>
  <c r="P63"/>
  <c r="P67"/>
  <c r="P71"/>
  <c r="O60"/>
  <c r="O64"/>
  <c r="O68"/>
  <c r="O72"/>
  <c r="N61"/>
  <c r="N65"/>
  <c r="N69"/>
  <c r="M58"/>
  <c r="M62"/>
  <c r="M66"/>
  <c r="M70"/>
  <c r="N57"/>
  <c r="L59"/>
  <c r="L63"/>
  <c r="L67"/>
  <c r="L71"/>
  <c r="L99"/>
  <c r="P62"/>
  <c r="P70"/>
  <c r="O63"/>
  <c r="O71"/>
  <c r="N64"/>
  <c r="N72"/>
  <c r="M65"/>
  <c r="M57"/>
  <c r="L62"/>
  <c r="L70"/>
  <c r="L100"/>
  <c r="O101"/>
  <c r="L105"/>
  <c r="M108"/>
  <c r="N107"/>
  <c r="O106"/>
  <c r="P105"/>
  <c r="M103"/>
  <c r="L114"/>
  <c r="O99"/>
  <c r="M101"/>
  <c r="N100"/>
  <c r="P114"/>
  <c r="L108"/>
  <c r="O109"/>
  <c r="L107"/>
  <c r="M110"/>
  <c r="N109"/>
  <c r="O108"/>
  <c r="P107"/>
  <c r="O88"/>
  <c r="N94"/>
  <c r="M91"/>
  <c r="L88"/>
  <c r="P84"/>
  <c r="O81"/>
  <c r="O121" s="1"/>
  <c r="M94"/>
  <c r="O84"/>
  <c r="P93"/>
  <c r="O90"/>
  <c r="N87"/>
  <c r="M84"/>
  <c r="L81"/>
  <c r="M90"/>
  <c r="O80"/>
  <c r="N92"/>
  <c r="M89"/>
  <c r="L86"/>
  <c r="P82"/>
  <c r="O79"/>
  <c r="L112"/>
  <c r="O113"/>
  <c r="L109"/>
  <c r="M112"/>
  <c r="N111"/>
  <c r="O110"/>
  <c r="P109"/>
  <c r="M99"/>
  <c r="P108"/>
  <c r="L102"/>
  <c r="M105"/>
  <c r="N104"/>
  <c r="O103"/>
  <c r="P102"/>
  <c r="N106"/>
  <c r="L111"/>
  <c r="M114"/>
  <c r="N113"/>
  <c r="O112"/>
  <c r="P111"/>
  <c r="L91"/>
  <c r="N81"/>
  <c r="L92"/>
  <c r="P88"/>
  <c r="O85"/>
  <c r="N82"/>
  <c r="M79"/>
  <c r="L87"/>
  <c r="L127" s="1"/>
  <c r="O94"/>
  <c r="N91"/>
  <c r="M88"/>
  <c r="L85"/>
  <c r="P81"/>
  <c r="O92"/>
  <c r="L83"/>
  <c r="M93"/>
  <c r="M133" s="1"/>
  <c r="L90"/>
  <c r="P86"/>
  <c r="O83"/>
  <c r="N80"/>
  <c r="N110"/>
  <c r="L113"/>
  <c r="N99"/>
  <c r="M100"/>
  <c r="O114"/>
  <c r="P113"/>
  <c r="L104"/>
  <c r="O105"/>
  <c r="L106"/>
  <c r="M109"/>
  <c r="N108"/>
  <c r="O107"/>
  <c r="P106"/>
  <c r="N114"/>
  <c r="P100"/>
  <c r="P99"/>
  <c r="M102"/>
  <c r="N101"/>
  <c r="O100"/>
  <c r="O120" s="1"/>
  <c r="N93"/>
  <c r="P83"/>
  <c r="P92"/>
  <c r="O89"/>
  <c r="O129" s="1"/>
  <c r="N86"/>
  <c r="M83"/>
  <c r="L80"/>
  <c r="N89"/>
  <c r="P79"/>
  <c r="P119" s="1"/>
  <c r="M92"/>
  <c r="L89"/>
  <c r="P85"/>
  <c r="P125" s="1"/>
  <c r="O82"/>
  <c r="N79"/>
  <c r="N85"/>
  <c r="L94"/>
  <c r="P90"/>
  <c r="O87"/>
  <c r="N84"/>
  <c r="M81"/>
  <c r="M121" s="1"/>
  <c r="M111"/>
  <c r="P112"/>
  <c r="L103"/>
  <c r="M106"/>
  <c r="N105"/>
  <c r="O104"/>
  <c r="P103"/>
  <c r="M86"/>
  <c r="O93"/>
  <c r="N90"/>
  <c r="N130" s="1"/>
  <c r="M87"/>
  <c r="L84"/>
  <c r="L124" s="1"/>
  <c r="P80"/>
  <c r="P91"/>
  <c r="M82"/>
  <c r="L93"/>
  <c r="P89"/>
  <c r="O86"/>
  <c r="N83"/>
  <c r="M80"/>
  <c r="P87"/>
  <c r="P127" s="1"/>
  <c r="P94"/>
  <c r="P134" s="1"/>
  <c r="O91"/>
  <c r="N88"/>
  <c r="N128" s="1"/>
  <c r="M85"/>
  <c r="L82"/>
  <c r="N134"/>
  <c r="C42"/>
  <c r="C44"/>
  <c r="C14"/>
  <c r="C11"/>
  <c r="C12" s="1"/>
  <c r="C395" i="9"/>
  <c r="C394"/>
  <c r="C393"/>
  <c r="C392"/>
  <c r="C404"/>
  <c r="C400"/>
  <c r="C418"/>
  <c r="C410"/>
  <c r="C409"/>
  <c r="D407"/>
  <c r="C459"/>
  <c r="C366"/>
  <c r="C365"/>
  <c r="C457" s="1"/>
  <c r="E187" i="27"/>
  <c r="C168"/>
  <c r="C187"/>
  <c r="E142"/>
  <c r="C412" i="9"/>
  <c r="E156" i="27" l="1"/>
  <c r="E159" s="1"/>
  <c r="O131" i="21"/>
  <c r="L121"/>
  <c r="L130"/>
  <c r="C33"/>
  <c r="M127"/>
  <c r="F25" i="22"/>
  <c r="N120" i="21"/>
  <c r="O122"/>
  <c r="D7" i="27"/>
  <c r="E7" s="1"/>
  <c r="C175"/>
  <c r="C176"/>
  <c r="K25" i="22"/>
  <c r="G25"/>
  <c r="I25"/>
  <c r="E25"/>
  <c r="H25"/>
  <c r="N123" i="21"/>
  <c r="C25" i="22"/>
  <c r="J25"/>
  <c r="D25"/>
  <c r="O264" i="21"/>
  <c r="P130"/>
  <c r="M124"/>
  <c r="N279"/>
  <c r="M276"/>
  <c r="L273"/>
  <c r="P269"/>
  <c r="O266"/>
  <c r="O279"/>
  <c r="N276"/>
  <c r="M273"/>
  <c r="L270"/>
  <c r="P266"/>
  <c r="M278"/>
  <c r="L275"/>
  <c r="P271"/>
  <c r="O268"/>
  <c r="N122"/>
  <c r="L119"/>
  <c r="N265"/>
  <c r="N132"/>
  <c r="P277"/>
  <c r="O274"/>
  <c r="N271"/>
  <c r="M268"/>
  <c r="L265"/>
  <c r="L278"/>
  <c r="P274"/>
  <c r="O271"/>
  <c r="N268"/>
  <c r="M265"/>
  <c r="P279"/>
  <c r="O276"/>
  <c r="N273"/>
  <c r="M270"/>
  <c r="N121"/>
  <c r="L126"/>
  <c r="P126"/>
  <c r="O130"/>
  <c r="P124"/>
  <c r="L122"/>
  <c r="O126"/>
  <c r="P121"/>
  <c r="N264"/>
  <c r="L277"/>
  <c r="P273"/>
  <c r="O270"/>
  <c r="N267"/>
  <c r="M277"/>
  <c r="L274"/>
  <c r="P270"/>
  <c r="O267"/>
  <c r="L279"/>
  <c r="P275"/>
  <c r="O272"/>
  <c r="N269"/>
  <c r="L133"/>
  <c r="N129"/>
  <c r="O133"/>
  <c r="N125"/>
  <c r="N133"/>
  <c r="O119"/>
  <c r="L128"/>
  <c r="M132"/>
  <c r="O127"/>
  <c r="P123"/>
  <c r="N131"/>
  <c r="P133"/>
  <c r="P264"/>
  <c r="M279"/>
  <c r="L276"/>
  <c r="P272"/>
  <c r="O269"/>
  <c r="N266"/>
  <c r="M264"/>
  <c r="P276"/>
  <c r="O273"/>
  <c r="N270"/>
  <c r="M267"/>
  <c r="M120"/>
  <c r="M128"/>
  <c r="L125"/>
  <c r="O278"/>
  <c r="N275"/>
  <c r="M272"/>
  <c r="L269"/>
  <c r="P265"/>
  <c r="P278"/>
  <c r="O275"/>
  <c r="N272"/>
  <c r="M269"/>
  <c r="L266"/>
  <c r="N277"/>
  <c r="M274"/>
  <c r="L271"/>
  <c r="L264"/>
  <c r="O277"/>
  <c r="N274"/>
  <c r="M271"/>
  <c r="L268"/>
  <c r="N278"/>
  <c r="M275"/>
  <c r="L272"/>
  <c r="P268"/>
  <c r="O265"/>
  <c r="M125"/>
  <c r="M131"/>
  <c r="N124"/>
  <c r="P120"/>
  <c r="N119"/>
  <c r="L123"/>
  <c r="M119"/>
  <c r="O132"/>
  <c r="L129"/>
  <c r="P122"/>
  <c r="P129"/>
  <c r="N126"/>
  <c r="M126"/>
  <c r="P131"/>
  <c r="O124"/>
  <c r="P132"/>
  <c r="M123"/>
  <c r="M122"/>
  <c r="M129"/>
  <c r="M130"/>
  <c r="O134"/>
  <c r="O125"/>
  <c r="L131"/>
  <c r="M134"/>
  <c r="O123"/>
  <c r="P128"/>
  <c r="L132"/>
  <c r="O128"/>
  <c r="L134"/>
  <c r="N127"/>
  <c r="L120"/>
  <c r="C45"/>
  <c r="C47" s="1"/>
  <c r="C51" s="1"/>
  <c r="C15"/>
  <c r="C17" s="1"/>
  <c r="C21" s="1"/>
  <c r="C458" i="9"/>
  <c r="C421"/>
  <c r="C413"/>
  <c r="D308"/>
  <c r="C148"/>
  <c r="D303"/>
  <c r="C306"/>
  <c r="C314"/>
  <c r="C316" s="1"/>
  <c r="C309"/>
  <c r="C305"/>
  <c r="F26" i="22"/>
  <c r="I26"/>
  <c r="J26"/>
  <c r="C24" i="21"/>
  <c r="D26" i="22"/>
  <c r="G26"/>
  <c r="H26"/>
  <c r="K26"/>
  <c r="C26"/>
  <c r="E26"/>
  <c r="C420" i="9"/>
  <c r="C308"/>
  <c r="C348"/>
  <c r="C34" i="21"/>
  <c r="G29" i="22" l="1"/>
  <c r="G43" s="1"/>
  <c r="E29"/>
  <c r="E44" s="1"/>
  <c r="P152" i="21"/>
  <c r="M153"/>
  <c r="O151"/>
  <c r="N147"/>
  <c r="M144"/>
  <c r="P147"/>
  <c r="M143"/>
  <c r="O146"/>
  <c r="N142"/>
  <c r="L143"/>
  <c r="P142"/>
  <c r="L145"/>
  <c r="O149"/>
  <c r="N145"/>
  <c r="L155"/>
  <c r="P149"/>
  <c r="M147"/>
  <c r="O152"/>
  <c r="N148"/>
  <c r="M146"/>
  <c r="P148"/>
  <c r="M145"/>
  <c r="O147"/>
  <c r="N143"/>
  <c r="L147"/>
  <c r="P143"/>
  <c r="L149"/>
  <c r="O142"/>
  <c r="L144"/>
  <c r="N154"/>
  <c r="L142"/>
  <c r="P154"/>
  <c r="O145"/>
  <c r="L156"/>
  <c r="N141"/>
  <c r="P145"/>
  <c r="L141"/>
  <c r="O148"/>
  <c r="N144"/>
  <c r="L151"/>
  <c r="P144"/>
  <c r="L153"/>
  <c r="O143"/>
  <c r="L148"/>
  <c r="N155"/>
  <c r="L150"/>
  <c r="P155"/>
  <c r="L146"/>
  <c r="O154"/>
  <c r="N150"/>
  <c r="M150"/>
  <c r="P150"/>
  <c r="M141"/>
  <c r="O141"/>
  <c r="N153"/>
  <c r="M156"/>
  <c r="P141"/>
  <c r="O144"/>
  <c r="L152"/>
  <c r="N156"/>
  <c r="P156"/>
  <c r="L154"/>
  <c r="O155"/>
  <c r="N151"/>
  <c r="M152"/>
  <c r="P151"/>
  <c r="M151"/>
  <c r="O150"/>
  <c r="N146"/>
  <c r="M142"/>
  <c r="P146"/>
  <c r="M149"/>
  <c r="O153"/>
  <c r="N149"/>
  <c r="M148"/>
  <c r="P153"/>
  <c r="M155"/>
  <c r="O156"/>
  <c r="N152"/>
  <c r="M154"/>
  <c r="F29" i="22"/>
  <c r="F274" s="1"/>
  <c r="F28"/>
  <c r="H29"/>
  <c r="H44" s="1"/>
  <c r="K29"/>
  <c r="K274" s="1"/>
  <c r="K28"/>
  <c r="G28"/>
  <c r="I29"/>
  <c r="I274" s="1"/>
  <c r="I28"/>
  <c r="E28"/>
  <c r="H28"/>
  <c r="C29"/>
  <c r="C44" s="1"/>
  <c r="C28"/>
  <c r="J29"/>
  <c r="J274" s="1"/>
  <c r="J28"/>
  <c r="D29"/>
  <c r="D274" s="1"/>
  <c r="D28"/>
  <c r="C461" i="9"/>
  <c r="C149"/>
  <c r="C35" i="21"/>
  <c r="C25"/>
  <c r="C28" l="1"/>
  <c r="C26" s="1"/>
  <c r="C27" s="1"/>
  <c r="E43" i="22"/>
  <c r="F43"/>
  <c r="F44"/>
  <c r="K30"/>
  <c r="F30"/>
  <c r="F273"/>
  <c r="L176" i="21"/>
  <c r="N162"/>
  <c r="N182" s="1"/>
  <c r="L169"/>
  <c r="M168"/>
  <c r="M188" s="1"/>
  <c r="P172"/>
  <c r="P192" s="1"/>
  <c r="M176"/>
  <c r="M196" s="1"/>
  <c r="P165"/>
  <c r="P166"/>
  <c r="P186" s="1"/>
  <c r="M170"/>
  <c r="M190" s="1"/>
  <c r="O169"/>
  <c r="O189" s="1"/>
  <c r="L173"/>
  <c r="O162"/>
  <c r="O182" s="1"/>
  <c r="O163"/>
  <c r="O183" s="1"/>
  <c r="L167"/>
  <c r="L187" s="1"/>
  <c r="O170"/>
  <c r="O190" s="1"/>
  <c r="O171"/>
  <c r="O191" s="1"/>
  <c r="L175"/>
  <c r="L195" s="1"/>
  <c r="O164"/>
  <c r="O184" s="1"/>
  <c r="M167"/>
  <c r="M187" s="1"/>
  <c r="L170"/>
  <c r="L190" s="1"/>
  <c r="M163"/>
  <c r="M183" s="1"/>
  <c r="O166"/>
  <c r="O186" s="1"/>
  <c r="P170"/>
  <c r="P190" s="1"/>
  <c r="M174"/>
  <c r="M194" s="1"/>
  <c r="M161"/>
  <c r="M181" s="1"/>
  <c r="N163"/>
  <c r="N183" s="1"/>
  <c r="O167"/>
  <c r="O187" s="1"/>
  <c r="L171"/>
  <c r="L191" s="1"/>
  <c r="O173"/>
  <c r="O193" s="1"/>
  <c r="P173"/>
  <c r="P193" s="1"/>
  <c r="O175"/>
  <c r="N164"/>
  <c r="N184" s="1"/>
  <c r="P167"/>
  <c r="P187" s="1"/>
  <c r="N170"/>
  <c r="N190" s="1"/>
  <c r="L164"/>
  <c r="L184" s="1"/>
  <c r="P175"/>
  <c r="P195" s="1"/>
  <c r="M162"/>
  <c r="M182" s="1"/>
  <c r="L168"/>
  <c r="L188" s="1"/>
  <c r="N171"/>
  <c r="N191" s="1"/>
  <c r="N172"/>
  <c r="N192" s="1"/>
  <c r="N167"/>
  <c r="N187" s="1"/>
  <c r="N168"/>
  <c r="N188" s="1"/>
  <c r="P171"/>
  <c r="P191" s="1"/>
  <c r="P161"/>
  <c r="P181" s="1"/>
  <c r="M164"/>
  <c r="M184" s="1"/>
  <c r="M165"/>
  <c r="M185" s="1"/>
  <c r="O168"/>
  <c r="O188" s="1"/>
  <c r="N174"/>
  <c r="N194" s="1"/>
  <c r="L161"/>
  <c r="L181" s="1"/>
  <c r="P176"/>
  <c r="P196" s="1"/>
  <c r="L162"/>
  <c r="N165"/>
  <c r="N185" s="1"/>
  <c r="M171"/>
  <c r="M191" s="1"/>
  <c r="O174"/>
  <c r="O194" s="1"/>
  <c r="N176"/>
  <c r="L163"/>
  <c r="L183" s="1"/>
  <c r="O165"/>
  <c r="O185" s="1"/>
  <c r="M172"/>
  <c r="M192" s="1"/>
  <c r="M173"/>
  <c r="M193" s="1"/>
  <c r="O176"/>
  <c r="O196" s="1"/>
  <c r="O172"/>
  <c r="O192" s="1"/>
  <c r="M175"/>
  <c r="M195" s="1"/>
  <c r="P164"/>
  <c r="P184" s="1"/>
  <c r="M169"/>
  <c r="M189" s="1"/>
  <c r="N169"/>
  <c r="L172"/>
  <c r="L192" s="1"/>
  <c r="P174"/>
  <c r="P194" s="1"/>
  <c r="L165"/>
  <c r="L185" s="1"/>
  <c r="L166"/>
  <c r="L186" s="1"/>
  <c r="M166"/>
  <c r="M186" s="1"/>
  <c r="P168"/>
  <c r="P188" s="1"/>
  <c r="N175"/>
  <c r="N195" s="1"/>
  <c r="N161"/>
  <c r="N181" s="1"/>
  <c r="P162"/>
  <c r="P182" s="1"/>
  <c r="N166"/>
  <c r="N186" s="1"/>
  <c r="P169"/>
  <c r="P189" s="1"/>
  <c r="L174"/>
  <c r="L194" s="1"/>
  <c r="O161"/>
  <c r="O181" s="1"/>
  <c r="P163"/>
  <c r="P183" s="1"/>
  <c r="N173"/>
  <c r="N193" s="1"/>
  <c r="N189"/>
  <c r="L193"/>
  <c r="L196"/>
  <c r="L182"/>
  <c r="L189"/>
  <c r="N196"/>
  <c r="P185"/>
  <c r="O195"/>
  <c r="I30" i="22"/>
  <c r="E30"/>
  <c r="E274"/>
  <c r="E273"/>
  <c r="H274"/>
  <c r="K273"/>
  <c r="I273"/>
  <c r="H30"/>
  <c r="K44"/>
  <c r="I44"/>
  <c r="G44"/>
  <c r="K43"/>
  <c r="I43"/>
  <c r="H43"/>
  <c r="G274"/>
  <c r="G273"/>
  <c r="H273"/>
  <c r="G30"/>
  <c r="J30"/>
  <c r="J44"/>
  <c r="J43"/>
  <c r="J273"/>
  <c r="C273"/>
  <c r="C43"/>
  <c r="D30"/>
  <c r="C30"/>
  <c r="D43"/>
  <c r="D273"/>
  <c r="D44"/>
  <c r="C274"/>
  <c r="C232" i="16"/>
  <c r="C222"/>
  <c r="C209"/>
  <c r="C199"/>
  <c r="C216"/>
  <c r="C233" s="1"/>
  <c r="C193"/>
  <c r="C171" i="20"/>
  <c r="C113"/>
  <c r="C114"/>
  <c r="C144"/>
  <c r="C26"/>
  <c r="E114"/>
  <c r="C134"/>
  <c r="D175"/>
  <c r="E113"/>
  <c r="E116"/>
  <c r="E123" s="1"/>
  <c r="E124" s="1"/>
  <c r="C27"/>
  <c r="C11"/>
  <c r="E120"/>
  <c r="E121"/>
  <c r="F101"/>
  <c r="D101"/>
  <c r="C17"/>
  <c r="C10"/>
  <c r="C8"/>
  <c r="C9" s="1"/>
  <c r="E113" i="16"/>
  <c r="E116"/>
  <c r="E123" s="1"/>
  <c r="E124" s="1"/>
  <c r="C11"/>
  <c r="C26"/>
  <c r="B80" i="3"/>
  <c r="B81" s="1"/>
  <c r="C27" i="16"/>
  <c r="C13" i="9"/>
  <c r="C14"/>
  <c r="C158"/>
  <c r="C31"/>
  <c r="C92"/>
  <c r="C113"/>
  <c r="C112"/>
  <c r="C144" i="16"/>
  <c r="E114"/>
  <c r="C114"/>
  <c r="C134"/>
  <c r="D175"/>
  <c r="C171"/>
  <c r="E121"/>
  <c r="E120"/>
  <c r="F101"/>
  <c r="D101"/>
  <c r="C17"/>
  <c r="C10"/>
  <c r="C8"/>
  <c r="C9" s="1"/>
  <c r="C273" i="9"/>
  <c r="C274"/>
  <c r="D78"/>
  <c r="C256"/>
  <c r="C255"/>
  <c r="D79"/>
  <c r="C182"/>
  <c r="C176"/>
  <c r="C263"/>
  <c r="C262"/>
  <c r="C136"/>
  <c r="B60" i="3"/>
  <c r="C109" i="9"/>
  <c r="D85"/>
  <c r="C223" i="3"/>
  <c r="B223"/>
  <c r="B188"/>
  <c r="B48"/>
  <c r="B52"/>
  <c r="B51"/>
  <c r="B49"/>
  <c r="B67"/>
  <c r="B50"/>
  <c r="C32" i="12"/>
  <c r="C31"/>
  <c r="C27"/>
  <c r="C26"/>
  <c r="C17"/>
  <c r="C16"/>
  <c r="C15"/>
  <c r="C14"/>
  <c r="C12"/>
  <c r="C8"/>
  <c r="C5"/>
  <c r="C4"/>
  <c r="C140" i="14"/>
  <c r="D140" s="1"/>
  <c r="C136"/>
  <c r="C137"/>
  <c r="C141"/>
  <c r="D141" s="1"/>
  <c r="C78"/>
  <c r="C84" s="1"/>
  <c r="C82"/>
  <c r="C112" s="1"/>
  <c r="C76"/>
  <c r="C83" s="1"/>
  <c r="C113" s="1"/>
  <c r="C40"/>
  <c r="C66" s="1"/>
  <c r="C41"/>
  <c r="C21"/>
  <c r="C11"/>
  <c r="C31"/>
  <c r="C26"/>
  <c r="D28"/>
  <c r="D40" i="15"/>
  <c r="E40"/>
  <c r="C40"/>
  <c r="D8"/>
  <c r="D6" s="1"/>
  <c r="D7" s="1"/>
  <c r="E41"/>
  <c r="C8"/>
  <c r="C6" s="1"/>
  <c r="C7" s="1"/>
  <c r="C9"/>
  <c r="E36"/>
  <c r="E38"/>
  <c r="E4"/>
  <c r="E8"/>
  <c r="E6"/>
  <c r="E7"/>
  <c r="E9"/>
  <c r="E16"/>
  <c r="E17"/>
  <c r="E19"/>
  <c r="E20"/>
  <c r="E22"/>
  <c r="E24"/>
  <c r="E26"/>
  <c r="E28"/>
  <c r="E30"/>
  <c r="E32"/>
  <c r="D17"/>
  <c r="D4"/>
  <c r="C4"/>
  <c r="C17"/>
  <c r="E11" i="10"/>
  <c r="E14" s="1"/>
  <c r="C132" i="3"/>
  <c r="D52"/>
  <c r="D51"/>
  <c r="D49"/>
  <c r="D48"/>
  <c r="D50"/>
  <c r="D55"/>
  <c r="C55"/>
  <c r="B53"/>
  <c r="B55"/>
  <c r="B24" i="1"/>
  <c r="E26" i="13"/>
  <c r="D26"/>
  <c r="C26"/>
  <c r="E20"/>
  <c r="D20"/>
  <c r="C20"/>
  <c r="D17"/>
  <c r="C17"/>
  <c r="J11"/>
  <c r="I11"/>
  <c r="F11"/>
  <c r="K9"/>
  <c r="J9"/>
  <c r="I9"/>
  <c r="H9"/>
  <c r="G9"/>
  <c r="F9"/>
  <c r="E9"/>
  <c r="D9"/>
  <c r="C9"/>
  <c r="C27"/>
  <c r="K7"/>
  <c r="K11"/>
  <c r="J7"/>
  <c r="I7"/>
  <c r="H7"/>
  <c r="H11"/>
  <c r="G7"/>
  <c r="G11"/>
  <c r="F7"/>
  <c r="E7"/>
  <c r="D7"/>
  <c r="C7"/>
  <c r="C18"/>
  <c r="C25"/>
  <c r="D18"/>
  <c r="D25"/>
  <c r="D27"/>
  <c r="E11"/>
  <c r="C11"/>
  <c r="D11"/>
  <c r="C24"/>
  <c r="C28"/>
  <c r="D24"/>
  <c r="D28"/>
  <c r="C22" i="8"/>
  <c r="C19"/>
  <c r="C17"/>
  <c r="D11" i="10"/>
  <c r="D14" s="1"/>
  <c r="C11"/>
  <c r="C14" s="1"/>
  <c r="E6"/>
  <c r="D6"/>
  <c r="C6"/>
  <c r="E4"/>
  <c r="D4"/>
  <c r="C4"/>
  <c r="B122" i="9"/>
  <c r="B74"/>
  <c r="B73"/>
  <c r="B66"/>
  <c r="B65"/>
  <c r="Y56" i="5"/>
  <c r="X56"/>
  <c r="L56"/>
  <c r="W56"/>
  <c r="K56"/>
  <c r="V56"/>
  <c r="J56"/>
  <c r="U56"/>
  <c r="I56"/>
  <c r="M56"/>
  <c r="Y55"/>
  <c r="M55"/>
  <c r="X55"/>
  <c r="W55"/>
  <c r="K55"/>
  <c r="V55"/>
  <c r="U55"/>
  <c r="I55"/>
  <c r="L55"/>
  <c r="J55"/>
  <c r="Y54"/>
  <c r="M54"/>
  <c r="X54"/>
  <c r="W54"/>
  <c r="K54"/>
  <c r="V54"/>
  <c r="J54"/>
  <c r="U54"/>
  <c r="I54"/>
  <c r="L54"/>
  <c r="Y53"/>
  <c r="M53"/>
  <c r="X53"/>
  <c r="W53"/>
  <c r="V53"/>
  <c r="U53"/>
  <c r="I53"/>
  <c r="L53"/>
  <c r="K53"/>
  <c r="J53"/>
  <c r="Y52"/>
  <c r="M52"/>
  <c r="X52"/>
  <c r="L52"/>
  <c r="W52"/>
  <c r="K52"/>
  <c r="V52"/>
  <c r="J52"/>
  <c r="U52"/>
  <c r="I52"/>
  <c r="Y51"/>
  <c r="M51"/>
  <c r="X51"/>
  <c r="W51"/>
  <c r="V51"/>
  <c r="U51"/>
  <c r="I51"/>
  <c r="L51"/>
  <c r="K51"/>
  <c r="J51"/>
  <c r="Y50"/>
  <c r="M50"/>
  <c r="X50"/>
  <c r="L50"/>
  <c r="W50"/>
  <c r="K50"/>
  <c r="V50"/>
  <c r="J50"/>
  <c r="U50"/>
  <c r="I50"/>
  <c r="Y49"/>
  <c r="M49"/>
  <c r="X49"/>
  <c r="W49"/>
  <c r="V49"/>
  <c r="U49"/>
  <c r="I49"/>
  <c r="L49"/>
  <c r="K49"/>
  <c r="J49"/>
  <c r="Y48"/>
  <c r="M48"/>
  <c r="X48"/>
  <c r="L48"/>
  <c r="W48"/>
  <c r="K48"/>
  <c r="V48"/>
  <c r="J48"/>
  <c r="U48"/>
  <c r="I48"/>
  <c r="Y47"/>
  <c r="M47"/>
  <c r="X47"/>
  <c r="W47"/>
  <c r="V47"/>
  <c r="U47"/>
  <c r="I47"/>
  <c r="L47"/>
  <c r="K47"/>
  <c r="J47"/>
  <c r="Y46"/>
  <c r="M46"/>
  <c r="X46"/>
  <c r="W46"/>
  <c r="K46"/>
  <c r="V46"/>
  <c r="J46"/>
  <c r="U46"/>
  <c r="I46"/>
  <c r="L46"/>
  <c r="Y45"/>
  <c r="M45"/>
  <c r="X45"/>
  <c r="W45"/>
  <c r="V45"/>
  <c r="U45"/>
  <c r="I45"/>
  <c r="L45"/>
  <c r="K45"/>
  <c r="J45"/>
  <c r="Y44"/>
  <c r="M44"/>
  <c r="X44"/>
  <c r="W44"/>
  <c r="K44"/>
  <c r="V44"/>
  <c r="U44"/>
  <c r="I44"/>
  <c r="L44"/>
  <c r="J44"/>
  <c r="Y43"/>
  <c r="M43"/>
  <c r="X43"/>
  <c r="W43"/>
  <c r="V43"/>
  <c r="U43"/>
  <c r="I43"/>
  <c r="L43"/>
  <c r="K43"/>
  <c r="J43"/>
  <c r="Y42"/>
  <c r="M42"/>
  <c r="X42"/>
  <c r="L42"/>
  <c r="W42"/>
  <c r="K42"/>
  <c r="V42"/>
  <c r="J42"/>
  <c r="U42"/>
  <c r="I42"/>
  <c r="Y41"/>
  <c r="M41"/>
  <c r="X41"/>
  <c r="W41"/>
  <c r="K41"/>
  <c r="V41"/>
  <c r="J41"/>
  <c r="U41"/>
  <c r="I41"/>
  <c r="L41"/>
  <c r="Y36"/>
  <c r="X36"/>
  <c r="L36"/>
  <c r="W36"/>
  <c r="K36"/>
  <c r="V36"/>
  <c r="J36"/>
  <c r="U36"/>
  <c r="M36"/>
  <c r="I36"/>
  <c r="Y35"/>
  <c r="M35"/>
  <c r="X35"/>
  <c r="W35"/>
  <c r="K35"/>
  <c r="V35"/>
  <c r="J35"/>
  <c r="U35"/>
  <c r="I35"/>
  <c r="L35"/>
  <c r="Y34"/>
  <c r="M34"/>
  <c r="X34"/>
  <c r="W34"/>
  <c r="K34"/>
  <c r="V34"/>
  <c r="J34"/>
  <c r="U34"/>
  <c r="I34"/>
  <c r="L34"/>
  <c r="Y33"/>
  <c r="M33"/>
  <c r="X33"/>
  <c r="L33"/>
  <c r="W33"/>
  <c r="K33"/>
  <c r="V33"/>
  <c r="J33"/>
  <c r="U33"/>
  <c r="I33"/>
  <c r="Y32"/>
  <c r="M32"/>
  <c r="X32"/>
  <c r="W32"/>
  <c r="K32"/>
  <c r="V32"/>
  <c r="J32"/>
  <c r="U32"/>
  <c r="I32"/>
  <c r="L32"/>
  <c r="Y31"/>
  <c r="M31"/>
  <c r="X31"/>
  <c r="W31"/>
  <c r="K31"/>
  <c r="V31"/>
  <c r="J31"/>
  <c r="U31"/>
  <c r="I31"/>
  <c r="L31"/>
  <c r="Y30"/>
  <c r="M30"/>
  <c r="X30"/>
  <c r="W30"/>
  <c r="K30"/>
  <c r="V30"/>
  <c r="J30"/>
  <c r="U30"/>
  <c r="I30"/>
  <c r="L30"/>
  <c r="Y29"/>
  <c r="M29"/>
  <c r="X29"/>
  <c r="W29"/>
  <c r="K29"/>
  <c r="V29"/>
  <c r="J29"/>
  <c r="U29"/>
  <c r="I29"/>
  <c r="L29"/>
  <c r="Y28"/>
  <c r="M28"/>
  <c r="X28"/>
  <c r="W28"/>
  <c r="K28"/>
  <c r="V28"/>
  <c r="J28"/>
  <c r="U28"/>
  <c r="I28"/>
  <c r="L28"/>
  <c r="Y27"/>
  <c r="M27"/>
  <c r="X27"/>
  <c r="W27"/>
  <c r="K27"/>
  <c r="V27"/>
  <c r="U27"/>
  <c r="I27"/>
  <c r="L27"/>
  <c r="J27"/>
  <c r="Y26"/>
  <c r="M26"/>
  <c r="X26"/>
  <c r="L26"/>
  <c r="W26"/>
  <c r="K26"/>
  <c r="V26"/>
  <c r="J26"/>
  <c r="U26"/>
  <c r="I26"/>
  <c r="Y25"/>
  <c r="M25"/>
  <c r="X25"/>
  <c r="W25"/>
  <c r="K25"/>
  <c r="V25"/>
  <c r="J25"/>
  <c r="U25"/>
  <c r="I25"/>
  <c r="L25"/>
  <c r="Y24"/>
  <c r="M24"/>
  <c r="X24"/>
  <c r="W24"/>
  <c r="K24"/>
  <c r="V24"/>
  <c r="J24"/>
  <c r="U24"/>
  <c r="I24"/>
  <c r="L24"/>
  <c r="Y23"/>
  <c r="M23"/>
  <c r="X23"/>
  <c r="W23"/>
  <c r="K23"/>
  <c r="V23"/>
  <c r="J23"/>
  <c r="U23"/>
  <c r="I23"/>
  <c r="L23"/>
  <c r="Y22"/>
  <c r="M22"/>
  <c r="X22"/>
  <c r="W22"/>
  <c r="K22"/>
  <c r="V22"/>
  <c r="J22"/>
  <c r="U22"/>
  <c r="I22"/>
  <c r="L22"/>
  <c r="Y21"/>
  <c r="M21"/>
  <c r="X21"/>
  <c r="W21"/>
  <c r="K21"/>
  <c r="V21"/>
  <c r="J21"/>
  <c r="U21"/>
  <c r="I21"/>
  <c r="L21"/>
  <c r="B5"/>
  <c r="C32" i="3"/>
  <c r="B32"/>
  <c r="E36" i="22"/>
  <c r="G36"/>
  <c r="D36"/>
  <c r="B7" i="1"/>
  <c r="B42" i="3"/>
  <c r="H35" i="22"/>
  <c r="I34"/>
  <c r="B123" i="3"/>
  <c r="I21" i="22"/>
  <c r="H37"/>
  <c r="E104" i="16"/>
  <c r="B87" i="3"/>
  <c r="G35" i="22"/>
  <c r="F37"/>
  <c r="J36"/>
  <c r="C36"/>
  <c r="B124" i="3"/>
  <c r="C156" i="16"/>
  <c r="C139" i="14"/>
  <c r="E12" i="2"/>
  <c r="K37" i="22"/>
  <c r="C148" i="16"/>
  <c r="I37" i="22"/>
  <c r="H36"/>
  <c r="D21"/>
  <c r="I35"/>
  <c r="K34"/>
  <c r="G37"/>
  <c r="D37"/>
  <c r="D57" i="3"/>
  <c r="E156" i="20"/>
  <c r="F35" i="22"/>
  <c r="I36"/>
  <c r="B25" i="1"/>
  <c r="C146" i="20"/>
  <c r="B37" i="3"/>
  <c r="C35" i="22"/>
  <c r="H34"/>
  <c r="B83" i="3"/>
  <c r="C148" i="20"/>
  <c r="D35" i="22"/>
  <c r="H21"/>
  <c r="J37"/>
  <c r="C37"/>
  <c r="F102" i="20"/>
  <c r="C104" i="16"/>
  <c r="C156" i="20"/>
  <c r="J21" i="22"/>
  <c r="E34"/>
  <c r="D102" i="16"/>
  <c r="K21" i="22"/>
  <c r="B88" i="3"/>
  <c r="D102" i="20"/>
  <c r="B167" i="3"/>
  <c r="B171"/>
  <c r="J34" i="22"/>
  <c r="C151" i="3"/>
  <c r="B39"/>
  <c r="K36" i="22"/>
  <c r="E37"/>
  <c r="D34"/>
  <c r="E104" i="20"/>
  <c r="C145"/>
  <c r="B41" i="3"/>
  <c r="F21" i="22"/>
  <c r="B122" i="3"/>
  <c r="C57"/>
  <c r="B125"/>
  <c r="C146" i="16"/>
  <c r="B183" i="3"/>
  <c r="B164"/>
  <c r="K35" i="22"/>
  <c r="C21"/>
  <c r="B18" i="1"/>
  <c r="C104" i="20"/>
  <c r="B57" i="3"/>
  <c r="C145" i="16"/>
  <c r="B165" i="3"/>
  <c r="B172"/>
  <c r="E35" i="22"/>
  <c r="E21"/>
  <c r="F34"/>
  <c r="C34"/>
  <c r="B212" i="3"/>
  <c r="B198"/>
  <c r="F102" i="16"/>
  <c r="B128" i="3"/>
  <c r="B137"/>
  <c r="B159"/>
  <c r="B111"/>
  <c r="J35" i="22"/>
  <c r="B195" i="3"/>
  <c r="B216"/>
  <c r="B181"/>
  <c r="G34" i="22"/>
  <c r="B91" i="3"/>
  <c r="B214"/>
  <c r="B170"/>
  <c r="G21" i="22"/>
  <c r="B197" i="3"/>
  <c r="F36" i="22"/>
  <c r="B194" i="3"/>
  <c r="E156" i="16"/>
  <c r="B160" i="3"/>
  <c r="B94"/>
  <c r="B133"/>
  <c r="C117" i="9"/>
  <c r="D83"/>
  <c r="C114"/>
  <c r="C105"/>
  <c r="C107"/>
  <c r="B161" i="3"/>
  <c r="B177"/>
  <c r="B169"/>
  <c r="B166"/>
  <c r="B174"/>
  <c r="B176"/>
  <c r="B97"/>
  <c r="B163"/>
  <c r="B168"/>
  <c r="C168"/>
  <c r="C172"/>
  <c r="C183"/>
  <c r="B152"/>
  <c r="C167"/>
  <c r="C159"/>
  <c r="C161"/>
  <c r="B173"/>
  <c r="B179"/>
  <c r="B175"/>
  <c r="B180"/>
  <c r="B162"/>
  <c r="B149"/>
  <c r="B182"/>
  <c r="B178"/>
  <c r="C133"/>
  <c r="B208"/>
  <c r="B203"/>
  <c r="B196"/>
  <c r="B215"/>
  <c r="B126"/>
  <c r="B202"/>
  <c r="B199"/>
  <c r="B217"/>
  <c r="B209"/>
  <c r="E202"/>
  <c r="C205"/>
  <c r="E216"/>
  <c r="B204"/>
  <c r="E217"/>
  <c r="C209"/>
  <c r="D218"/>
  <c r="B213"/>
  <c r="B206"/>
  <c r="B207"/>
  <c r="E210"/>
  <c r="C208"/>
  <c r="E213"/>
  <c r="E203"/>
  <c r="D204"/>
  <c r="C201"/>
  <c r="C215"/>
  <c r="C196"/>
  <c r="E196"/>
  <c r="C202"/>
  <c r="B218"/>
  <c r="B200"/>
  <c r="E195"/>
  <c r="C217"/>
  <c r="D212"/>
  <c r="C218"/>
  <c r="D195"/>
  <c r="C194"/>
  <c r="D200"/>
  <c r="C210"/>
  <c r="D201"/>
  <c r="B201"/>
  <c r="C149"/>
  <c r="B211"/>
  <c r="C137"/>
  <c r="B205"/>
  <c r="B210"/>
  <c r="C63" i="26"/>
  <c r="C88" i="16"/>
  <c r="C63" i="27"/>
  <c r="C89" i="20"/>
  <c r="C89" i="16"/>
  <c r="C83"/>
  <c r="C64" i="26"/>
  <c r="C62"/>
  <c r="C62" i="16"/>
  <c r="C63"/>
  <c r="C88" i="20"/>
  <c r="C62" i="27"/>
  <c r="C165" i="3"/>
  <c r="C170"/>
  <c r="C181"/>
  <c r="C176"/>
  <c r="C175"/>
  <c r="C173"/>
  <c r="C174"/>
  <c r="C179"/>
  <c r="C160"/>
  <c r="C180"/>
  <c r="C162"/>
  <c r="C177"/>
  <c r="C166"/>
  <c r="C171"/>
  <c r="C164"/>
  <c r="C163"/>
  <c r="C182"/>
  <c r="C178"/>
  <c r="B104"/>
  <c r="C169"/>
  <c r="C47" i="9"/>
  <c r="C83" i="20"/>
  <c r="C64" i="16"/>
  <c r="C64" i="27"/>
  <c r="C64" i="20"/>
  <c r="C62"/>
  <c r="C63"/>
  <c r="E215" i="3"/>
  <c r="E207"/>
  <c r="C152"/>
  <c r="E209"/>
  <c r="D210"/>
  <c r="E204"/>
  <c r="D194"/>
  <c r="E198"/>
  <c r="D208"/>
  <c r="C213"/>
  <c r="C211"/>
  <c r="D205"/>
  <c r="C198"/>
  <c r="D216"/>
  <c r="D203"/>
  <c r="D198"/>
  <c r="D197"/>
  <c r="C199"/>
  <c r="E201"/>
  <c r="D207"/>
  <c r="C206"/>
  <c r="D217"/>
  <c r="E205"/>
  <c r="C214"/>
  <c r="E212"/>
  <c r="D209"/>
  <c r="C204"/>
  <c r="D214"/>
  <c r="C197"/>
  <c r="E200"/>
  <c r="E199"/>
  <c r="D213"/>
  <c r="E211"/>
  <c r="E208"/>
  <c r="C212"/>
  <c r="D196"/>
  <c r="D199"/>
  <c r="C203"/>
  <c r="E206"/>
  <c r="E197"/>
  <c r="D211"/>
  <c r="E218"/>
  <c r="C195"/>
  <c r="E214"/>
  <c r="C216"/>
  <c r="D202"/>
  <c r="C207"/>
  <c r="E194"/>
  <c r="D215"/>
  <c r="C200"/>
  <c r="D206"/>
  <c r="C221" i="9" l="1"/>
  <c r="C226" s="1"/>
  <c r="C234" s="1"/>
  <c r="C236" s="1"/>
  <c r="C29" i="21"/>
  <c r="C30" s="1"/>
  <c r="C32" s="1"/>
  <c r="C36" s="1"/>
  <c r="C225" i="22"/>
  <c r="E225"/>
  <c r="H225"/>
  <c r="F225"/>
  <c r="G225"/>
  <c r="D225"/>
  <c r="J225"/>
  <c r="K225"/>
  <c r="I225"/>
  <c r="E223"/>
  <c r="D223"/>
  <c r="C223"/>
  <c r="I223"/>
  <c r="G223"/>
  <c r="J223"/>
  <c r="K223"/>
  <c r="H223"/>
  <c r="F223"/>
  <c r="H153"/>
  <c r="J153"/>
  <c r="K153"/>
  <c r="E153"/>
  <c r="I153"/>
  <c r="D153"/>
  <c r="F153"/>
  <c r="G153"/>
  <c r="C153"/>
  <c r="C155"/>
  <c r="D155"/>
  <c r="G155"/>
  <c r="E155"/>
  <c r="K155"/>
  <c r="J155"/>
  <c r="F155"/>
  <c r="H155"/>
  <c r="I155"/>
  <c r="D85"/>
  <c r="G85"/>
  <c r="E85"/>
  <c r="K85"/>
  <c r="C85"/>
  <c r="J85"/>
  <c r="F85"/>
  <c r="H85"/>
  <c r="I85"/>
  <c r="H83"/>
  <c r="J83"/>
  <c r="K83"/>
  <c r="E83"/>
  <c r="I83"/>
  <c r="D83"/>
  <c r="F83"/>
  <c r="G83"/>
  <c r="C83"/>
  <c r="D32"/>
  <c r="D20"/>
  <c r="C20"/>
  <c r="J32"/>
  <c r="J20"/>
  <c r="F32"/>
  <c r="F20"/>
  <c r="E20"/>
  <c r="K20"/>
  <c r="H32"/>
  <c r="H20"/>
  <c r="K32"/>
  <c r="G32"/>
  <c r="G20"/>
  <c r="I32"/>
  <c r="I20"/>
  <c r="E32"/>
  <c r="C33" i="14"/>
  <c r="C36" s="1"/>
  <c r="D79"/>
  <c r="C35" i="12"/>
  <c r="C105" i="14"/>
  <c r="C106"/>
  <c r="C101"/>
  <c r="C104"/>
  <c r="C65"/>
  <c r="C89"/>
  <c r="C62"/>
  <c r="C64"/>
  <c r="C60"/>
  <c r="C61"/>
  <c r="K46" i="22"/>
  <c r="K203" s="1"/>
  <c r="K47"/>
  <c r="K205" s="1"/>
  <c r="F46"/>
  <c r="F203" s="1"/>
  <c r="F47"/>
  <c r="F205" s="1"/>
  <c r="C4" i="8"/>
  <c r="C6"/>
  <c r="D6" s="1"/>
  <c r="I46" i="22"/>
  <c r="I203" s="1"/>
  <c r="I47"/>
  <c r="I205" s="1"/>
  <c r="E46"/>
  <c r="E203" s="1"/>
  <c r="E47"/>
  <c r="E205" s="1"/>
  <c r="H47"/>
  <c r="H205" s="1"/>
  <c r="H46"/>
  <c r="H203" s="1"/>
  <c r="G46"/>
  <c r="G203" s="1"/>
  <c r="G47"/>
  <c r="G205" s="1"/>
  <c r="J46"/>
  <c r="J203" s="1"/>
  <c r="J47"/>
  <c r="J205" s="1"/>
  <c r="E18" i="13"/>
  <c r="E24" s="1"/>
  <c r="E27"/>
  <c r="C98" i="9"/>
  <c r="C102" s="1"/>
  <c r="E18" i="10"/>
  <c r="E19" s="1"/>
  <c r="E15"/>
  <c r="D15"/>
  <c r="D18"/>
  <c r="D19" s="1"/>
  <c r="C18"/>
  <c r="C19" s="1"/>
  <c r="C15"/>
  <c r="C47" i="22"/>
  <c r="C205" s="1"/>
  <c r="C46"/>
  <c r="C203" s="1"/>
  <c r="D47"/>
  <c r="D205" s="1"/>
  <c r="D46"/>
  <c r="D203" s="1"/>
  <c r="C32"/>
  <c r="C236" i="16"/>
  <c r="C223"/>
  <c r="C200"/>
  <c r="C203" s="1"/>
  <c r="C210"/>
  <c r="C213" s="1"/>
  <c r="C65" i="27"/>
  <c r="C58"/>
  <c r="C60"/>
  <c r="C61" s="1"/>
  <c r="D60" s="1"/>
  <c r="E127" i="20"/>
  <c r="F159"/>
  <c r="E126"/>
  <c r="E129" s="1"/>
  <c r="E127" i="16"/>
  <c r="C65" i="26"/>
  <c r="C58"/>
  <c r="C60"/>
  <c r="C61" s="1"/>
  <c r="D60" s="1"/>
  <c r="D22" i="15"/>
  <c r="D28" s="1"/>
  <c r="D9"/>
  <c r="D19" s="1"/>
  <c r="D24" s="1"/>
  <c r="D32" s="1"/>
  <c r="D20"/>
  <c r="D30"/>
  <c r="C22"/>
  <c r="C19"/>
  <c r="C20"/>
  <c r="C30"/>
  <c r="C371" i="9"/>
  <c r="C463"/>
  <c r="C352"/>
  <c r="B105" i="3"/>
  <c r="B106" s="1"/>
  <c r="B98"/>
  <c r="B99" s="1"/>
  <c r="C60" i="16"/>
  <c r="C61" s="1"/>
  <c r="D60" s="1"/>
  <c r="C45" i="9"/>
  <c r="C46" s="1"/>
  <c r="C60" i="20"/>
  <c r="C61" s="1"/>
  <c r="D60" s="1"/>
  <c r="B92" i="3"/>
  <c r="B93" s="1"/>
  <c r="B187"/>
  <c r="B95"/>
  <c r="B96" s="1"/>
  <c r="C127" i="9"/>
  <c r="B89" i="3"/>
  <c r="C58" i="16"/>
  <c r="D61" s="1"/>
  <c r="C37" i="3"/>
  <c r="G37" s="1"/>
  <c r="C58" i="20"/>
  <c r="D61" s="1"/>
  <c r="C43" i="9"/>
  <c r="D46" s="1"/>
  <c r="E37" i="3"/>
  <c r="C65" i="20"/>
  <c r="C160" i="9"/>
  <c r="D32"/>
  <c r="C32" s="1"/>
  <c r="C257"/>
  <c r="C264"/>
  <c r="C265" s="1"/>
  <c r="C266" s="1"/>
  <c r="E126" i="16"/>
  <c r="E129" s="1"/>
  <c r="F159"/>
  <c r="C103" i="3"/>
  <c r="C28" i="20"/>
  <c r="C20" s="1"/>
  <c r="C21" s="1"/>
  <c r="C30" i="16"/>
  <c r="C32" s="1"/>
  <c r="C17" i="9"/>
  <c r="D103" i="3"/>
  <c r="D132"/>
  <c r="C30" i="20"/>
  <c r="C32" s="1"/>
  <c r="E158" i="3"/>
  <c r="B82"/>
  <c r="F158" s="1"/>
  <c r="D158"/>
  <c r="C278" i="9"/>
  <c r="C100"/>
  <c r="C119" s="1"/>
  <c r="C275"/>
  <c r="C277" s="1"/>
  <c r="C123"/>
  <c r="C15"/>
  <c r="C226" i="16"/>
  <c r="C65"/>
  <c r="C28"/>
  <c r="C20" s="1"/>
  <c r="B224" i="3"/>
  <c r="D173"/>
  <c r="E177"/>
  <c r="D181"/>
  <c r="F167"/>
  <c r="D163"/>
  <c r="B8" i="1"/>
  <c r="E179" i="3"/>
  <c r="D165"/>
  <c r="D161"/>
  <c r="D176"/>
  <c r="B153"/>
  <c r="B20" i="1"/>
  <c r="F168" i="3"/>
  <c r="D172"/>
  <c r="E159"/>
  <c r="E166"/>
  <c r="F178"/>
  <c r="D159"/>
  <c r="E174"/>
  <c r="B107"/>
  <c r="F161"/>
  <c r="F166"/>
  <c r="F175"/>
  <c r="B129"/>
  <c r="C134" s="1"/>
  <c r="C135"/>
  <c r="D104"/>
  <c r="E164"/>
  <c r="E162"/>
  <c r="E172"/>
  <c r="D179"/>
  <c r="E182"/>
  <c r="D137"/>
  <c r="F176"/>
  <c r="F165"/>
  <c r="F179"/>
  <c r="B150"/>
  <c r="F170"/>
  <c r="B134"/>
  <c r="F164"/>
  <c r="D175"/>
  <c r="E183"/>
  <c r="E173"/>
  <c r="F173"/>
  <c r="C135" i="14"/>
  <c r="F171" i="3"/>
  <c r="D174"/>
  <c r="F169"/>
  <c r="E181"/>
  <c r="D170"/>
  <c r="B135"/>
  <c r="B127"/>
  <c r="C136" s="1"/>
  <c r="D160"/>
  <c r="D167"/>
  <c r="E170"/>
  <c r="D183"/>
  <c r="E169"/>
  <c r="E165"/>
  <c r="B144"/>
  <c r="E176"/>
  <c r="E168"/>
  <c r="C104"/>
  <c r="D177"/>
  <c r="E167"/>
  <c r="D134"/>
  <c r="D178"/>
  <c r="D180"/>
  <c r="D164"/>
  <c r="D162"/>
  <c r="D168"/>
  <c r="F163"/>
  <c r="C154"/>
  <c r="F181"/>
  <c r="F183"/>
  <c r="E171"/>
  <c r="D111"/>
  <c r="F159"/>
  <c r="C224"/>
  <c r="D171"/>
  <c r="D182"/>
  <c r="B110"/>
  <c r="D166"/>
  <c r="E178"/>
  <c r="D135"/>
  <c r="B189"/>
  <c r="F177"/>
  <c r="F160"/>
  <c r="F172"/>
  <c r="E175"/>
  <c r="C144"/>
  <c r="F180"/>
  <c r="F174"/>
  <c r="C111"/>
  <c r="E163"/>
  <c r="F162"/>
  <c r="E160"/>
  <c r="D133"/>
  <c r="F182"/>
  <c r="C70" i="16" s="1"/>
  <c r="E161" i="3"/>
  <c r="D169"/>
  <c r="C110"/>
  <c r="D110"/>
  <c r="E180"/>
  <c r="C70" i="26"/>
  <c r="D259" i="9"/>
  <c r="C157"/>
  <c r="C460"/>
  <c r="C48"/>
  <c r="D136" i="3"/>
  <c r="C70" i="27"/>
  <c r="C70" i="20"/>
  <c r="B138" i="3" l="1"/>
  <c r="B140"/>
  <c r="C14" i="8"/>
  <c r="C20" s="1"/>
  <c r="D4"/>
  <c r="D13"/>
  <c r="D18" s="1"/>
  <c r="E6"/>
  <c r="G209" i="22"/>
  <c r="G206"/>
  <c r="G217" s="1"/>
  <c r="G218" s="1"/>
  <c r="D208"/>
  <c r="D204"/>
  <c r="G204"/>
  <c r="G208"/>
  <c r="E204"/>
  <c r="E208"/>
  <c r="K204"/>
  <c r="K208"/>
  <c r="C206"/>
  <c r="C217" s="1"/>
  <c r="C218" s="1"/>
  <c r="C209"/>
  <c r="K209"/>
  <c r="K206"/>
  <c r="K217" s="1"/>
  <c r="K218" s="1"/>
  <c r="C208"/>
  <c r="C204"/>
  <c r="J204"/>
  <c r="J208"/>
  <c r="H209"/>
  <c r="H206"/>
  <c r="H217" s="1"/>
  <c r="H218" s="1"/>
  <c r="I204"/>
  <c r="I208"/>
  <c r="F208"/>
  <c r="F204"/>
  <c r="E206"/>
  <c r="E217" s="1"/>
  <c r="E218" s="1"/>
  <c r="E209"/>
  <c r="D206"/>
  <c r="D217" s="1"/>
  <c r="D218" s="1"/>
  <c r="D209"/>
  <c r="J206"/>
  <c r="J217" s="1"/>
  <c r="J218" s="1"/>
  <c r="J209"/>
  <c r="H204"/>
  <c r="H208"/>
  <c r="I206"/>
  <c r="I217" s="1"/>
  <c r="I218" s="1"/>
  <c r="I209"/>
  <c r="F206"/>
  <c r="F217" s="1"/>
  <c r="F218" s="1"/>
  <c r="F209"/>
  <c r="D65"/>
  <c r="D69" s="1"/>
  <c r="D135"/>
  <c r="J65"/>
  <c r="J69" s="1"/>
  <c r="J135"/>
  <c r="I65"/>
  <c r="I66" s="1"/>
  <c r="I77" s="1"/>
  <c r="I78" s="1"/>
  <c r="I135"/>
  <c r="C63"/>
  <c r="C68" s="1"/>
  <c r="C133"/>
  <c r="J63"/>
  <c r="J68" s="1"/>
  <c r="J133"/>
  <c r="H65"/>
  <c r="H66" s="1"/>
  <c r="H77" s="1"/>
  <c r="H78" s="1"/>
  <c r="H135"/>
  <c r="I63"/>
  <c r="I64" s="1"/>
  <c r="I133"/>
  <c r="F63"/>
  <c r="F64" s="1"/>
  <c r="F133"/>
  <c r="F65"/>
  <c r="F66" s="1"/>
  <c r="F77" s="1"/>
  <c r="F78" s="1"/>
  <c r="F135"/>
  <c r="D63"/>
  <c r="D64" s="1"/>
  <c r="D133"/>
  <c r="G63"/>
  <c r="G68" s="1"/>
  <c r="G133"/>
  <c r="E63"/>
  <c r="E64" s="1"/>
  <c r="E133"/>
  <c r="K63"/>
  <c r="K68" s="1"/>
  <c r="K133"/>
  <c r="H63"/>
  <c r="H64" s="1"/>
  <c r="H133"/>
  <c r="C65"/>
  <c r="C66" s="1"/>
  <c r="C77" s="1"/>
  <c r="C78" s="1"/>
  <c r="C135"/>
  <c r="G65"/>
  <c r="G66" s="1"/>
  <c r="G77" s="1"/>
  <c r="G78" s="1"/>
  <c r="G135"/>
  <c r="E65"/>
  <c r="E66" s="1"/>
  <c r="E77" s="1"/>
  <c r="E78" s="1"/>
  <c r="E135"/>
  <c r="K65"/>
  <c r="K69" s="1"/>
  <c r="K135"/>
  <c r="J64"/>
  <c r="D66"/>
  <c r="D77" s="1"/>
  <c r="D78" s="1"/>
  <c r="H68"/>
  <c r="I69"/>
  <c r="C109" i="14"/>
  <c r="C144"/>
  <c r="C68"/>
  <c r="C73"/>
  <c r="C13" i="8"/>
  <c r="C18" s="1"/>
  <c r="C23"/>
  <c r="E25" i="13"/>
  <c r="E28" s="1"/>
  <c r="E28" i="10"/>
  <c r="D28"/>
  <c r="C28"/>
  <c r="C140" i="3"/>
  <c r="C142" s="1"/>
  <c r="C138"/>
  <c r="C65" i="9"/>
  <c r="C49"/>
  <c r="C50" s="1"/>
  <c r="C66" i="27"/>
  <c r="C71" s="1"/>
  <c r="C72" s="1"/>
  <c r="C77" s="1"/>
  <c r="D61"/>
  <c r="C66" i="26"/>
  <c r="D61"/>
  <c r="D26" i="15"/>
  <c r="D41"/>
  <c r="D36"/>
  <c r="D38" s="1"/>
  <c r="C28"/>
  <c r="C24"/>
  <c r="C32" s="1"/>
  <c r="C41" s="1"/>
  <c r="C26"/>
  <c r="C462" i="9"/>
  <c r="C66" i="16"/>
  <c r="C71" s="1"/>
  <c r="C72" s="1"/>
  <c r="C77" s="1"/>
  <c r="C141" i="3"/>
  <c r="C139"/>
  <c r="B108"/>
  <c r="B114"/>
  <c r="B112"/>
  <c r="B142"/>
  <c r="B90"/>
  <c r="C66" i="20"/>
  <c r="C71" s="1"/>
  <c r="C72" s="1"/>
  <c r="C77" s="1"/>
  <c r="C159" i="9"/>
  <c r="D45"/>
  <c r="C22" i="20"/>
  <c r="C23" s="1"/>
  <c r="C91" s="1"/>
  <c r="C105" i="3"/>
  <c r="C106" s="1"/>
  <c r="D141"/>
  <c r="D138"/>
  <c r="D139"/>
  <c r="D140"/>
  <c r="D105"/>
  <c r="D106" s="1"/>
  <c r="E103"/>
  <c r="C188"/>
  <c r="C104" i="9"/>
  <c r="C134" s="1"/>
  <c r="D277"/>
  <c r="C21" i="16"/>
  <c r="C22"/>
  <c r="C82" i="20"/>
  <c r="E111" i="3"/>
  <c r="C189"/>
  <c r="B136"/>
  <c r="D224"/>
  <c r="B11" i="1"/>
  <c r="C82" i="16"/>
  <c r="C81" i="20"/>
  <c r="E110" i="3"/>
  <c r="B151"/>
  <c r="E104"/>
  <c r="C107"/>
  <c r="D144"/>
  <c r="D109"/>
  <c r="D107"/>
  <c r="B154"/>
  <c r="C81" i="16"/>
  <c r="B109" i="3"/>
  <c r="C109"/>
  <c r="C139" i="9"/>
  <c r="D464"/>
  <c r="C217" l="1"/>
  <c r="C219" s="1"/>
  <c r="B141" i="3"/>
  <c r="B143" s="1"/>
  <c r="B139"/>
  <c r="D68" i="22"/>
  <c r="E68"/>
  <c r="F6" i="8"/>
  <c r="E13"/>
  <c r="E18" s="1"/>
  <c r="C69" i="22"/>
  <c r="D23" i="8"/>
  <c r="E4"/>
  <c r="D14"/>
  <c r="D20" s="1"/>
  <c r="K66" i="22"/>
  <c r="K77" s="1"/>
  <c r="K78" s="1"/>
  <c r="E220"/>
  <c r="E253"/>
  <c r="K215"/>
  <c r="K212"/>
  <c r="G215"/>
  <c r="G212"/>
  <c r="I212"/>
  <c r="I215"/>
  <c r="J212"/>
  <c r="J215"/>
  <c r="E212"/>
  <c r="E215"/>
  <c r="I214"/>
  <c r="I211"/>
  <c r="J214"/>
  <c r="J211"/>
  <c r="K253"/>
  <c r="K220"/>
  <c r="K211"/>
  <c r="K214"/>
  <c r="G211"/>
  <c r="G214"/>
  <c r="G253"/>
  <c r="G220"/>
  <c r="G69"/>
  <c r="K64"/>
  <c r="G64"/>
  <c r="F69"/>
  <c r="J220"/>
  <c r="J253"/>
  <c r="F220"/>
  <c r="F253"/>
  <c r="D220"/>
  <c r="D253"/>
  <c r="F214"/>
  <c r="F211"/>
  <c r="H212"/>
  <c r="H215"/>
  <c r="C214"/>
  <c r="C211"/>
  <c r="C220"/>
  <c r="C253"/>
  <c r="D211"/>
  <c r="D214"/>
  <c r="E69"/>
  <c r="I68"/>
  <c r="I71" s="1"/>
  <c r="I220"/>
  <c r="I253"/>
  <c r="F215"/>
  <c r="F212"/>
  <c r="H211"/>
  <c r="H214"/>
  <c r="D215"/>
  <c r="D212"/>
  <c r="H220"/>
  <c r="H253"/>
  <c r="C215"/>
  <c r="C212"/>
  <c r="E214"/>
  <c r="E211"/>
  <c r="C139"/>
  <c r="C136"/>
  <c r="K136"/>
  <c r="K147" s="1"/>
  <c r="K148" s="1"/>
  <c r="K183" s="1"/>
  <c r="K139"/>
  <c r="G136"/>
  <c r="G147" s="1"/>
  <c r="G148" s="1"/>
  <c r="G183" s="1"/>
  <c r="G139"/>
  <c r="E134"/>
  <c r="E138"/>
  <c r="D134"/>
  <c r="D138"/>
  <c r="F136"/>
  <c r="F147" s="1"/>
  <c r="F148" s="1"/>
  <c r="F183" s="1"/>
  <c r="F139"/>
  <c r="J66"/>
  <c r="J77" s="1"/>
  <c r="J78" s="1"/>
  <c r="J113" s="1"/>
  <c r="J117" s="1"/>
  <c r="F68"/>
  <c r="F74" s="1"/>
  <c r="H69"/>
  <c r="C64"/>
  <c r="I138"/>
  <c r="I134"/>
  <c r="J134"/>
  <c r="J138"/>
  <c r="I136"/>
  <c r="I147" s="1"/>
  <c r="I148" s="1"/>
  <c r="I183" s="1"/>
  <c r="I139"/>
  <c r="D136"/>
  <c r="D147" s="1"/>
  <c r="D148" s="1"/>
  <c r="D183" s="1"/>
  <c r="D139"/>
  <c r="H134"/>
  <c r="H138"/>
  <c r="G134"/>
  <c r="G138"/>
  <c r="E136"/>
  <c r="E147" s="1"/>
  <c r="E148" s="1"/>
  <c r="E183" s="1"/>
  <c r="E139"/>
  <c r="K134"/>
  <c r="K138"/>
  <c r="F134"/>
  <c r="F138"/>
  <c r="H136"/>
  <c r="H147" s="1"/>
  <c r="H148" s="1"/>
  <c r="H183" s="1"/>
  <c r="H139"/>
  <c r="C138"/>
  <c r="C134"/>
  <c r="J136"/>
  <c r="J147" s="1"/>
  <c r="J148" s="1"/>
  <c r="J183" s="1"/>
  <c r="J139"/>
  <c r="C80"/>
  <c r="C109" s="1"/>
  <c r="C113"/>
  <c r="C117" s="1"/>
  <c r="I80"/>
  <c r="I82" s="1"/>
  <c r="I88" s="1"/>
  <c r="I113"/>
  <c r="I117" s="1"/>
  <c r="H80"/>
  <c r="H84" s="1"/>
  <c r="H89" s="1"/>
  <c r="H113"/>
  <c r="H117" s="1"/>
  <c r="E80"/>
  <c r="E82" s="1"/>
  <c r="E88" s="1"/>
  <c r="E113"/>
  <c r="E117" s="1"/>
  <c r="J80"/>
  <c r="J109" s="1"/>
  <c r="K80"/>
  <c r="K109" s="1"/>
  <c r="K113"/>
  <c r="K117" s="1"/>
  <c r="G80"/>
  <c r="G109" s="1"/>
  <c r="G113"/>
  <c r="G117" s="1"/>
  <c r="D80"/>
  <c r="D82" s="1"/>
  <c r="D88" s="1"/>
  <c r="D113"/>
  <c r="D117" s="1"/>
  <c r="F80"/>
  <c r="F109" s="1"/>
  <c r="F113"/>
  <c r="F117" s="1"/>
  <c r="G84"/>
  <c r="G89" s="1"/>
  <c r="G82"/>
  <c r="G88" s="1"/>
  <c r="G75"/>
  <c r="G72"/>
  <c r="G74"/>
  <c r="G71"/>
  <c r="J71"/>
  <c r="J74"/>
  <c r="E72"/>
  <c r="E75"/>
  <c r="E74"/>
  <c r="E71"/>
  <c r="D74"/>
  <c r="D71"/>
  <c r="J75"/>
  <c r="J72"/>
  <c r="C71"/>
  <c r="C74"/>
  <c r="K74"/>
  <c r="K71"/>
  <c r="C75"/>
  <c r="C72"/>
  <c r="I72"/>
  <c r="I75"/>
  <c r="F71"/>
  <c r="H72"/>
  <c r="H75"/>
  <c r="D72"/>
  <c r="D75"/>
  <c r="K75"/>
  <c r="K72"/>
  <c r="F75"/>
  <c r="F72"/>
  <c r="H74"/>
  <c r="H71"/>
  <c r="E22" i="10"/>
  <c r="E24"/>
  <c r="E26" s="1"/>
  <c r="D24"/>
  <c r="D26" s="1"/>
  <c r="D22"/>
  <c r="C24"/>
  <c r="C26" s="1"/>
  <c r="C22"/>
  <c r="C66" i="9"/>
  <c r="E165" i="27"/>
  <c r="C85"/>
  <c r="C165"/>
  <c r="D81"/>
  <c r="C73"/>
  <c r="C71" i="26"/>
  <c r="C72" s="1"/>
  <c r="C77" s="1"/>
  <c r="C85" i="16"/>
  <c r="B116" i="3"/>
  <c r="C143"/>
  <c r="C36" i="15"/>
  <c r="C38" s="1"/>
  <c r="D114" i="3"/>
  <c r="D108"/>
  <c r="D112"/>
  <c r="B113"/>
  <c r="B115"/>
  <c r="C108"/>
  <c r="C114"/>
  <c r="C112"/>
  <c r="C73" i="20"/>
  <c r="C92" s="1"/>
  <c r="F8" s="1"/>
  <c r="C115" i="3"/>
  <c r="C113"/>
  <c r="C85" i="20"/>
  <c r="D81"/>
  <c r="D143" i="3"/>
  <c r="D142"/>
  <c r="D113"/>
  <c r="E105"/>
  <c r="E106" s="1"/>
  <c r="D115"/>
  <c r="C73" i="16"/>
  <c r="D34" s="1"/>
  <c r="D35" s="1"/>
  <c r="C35" s="1"/>
  <c r="C23"/>
  <c r="C91" s="1"/>
  <c r="D14" i="27"/>
  <c r="E109" i="3"/>
  <c r="D14" i="20"/>
  <c r="E107" i="3"/>
  <c r="B12" i="1"/>
  <c r="E166" i="27"/>
  <c r="D189" i="3"/>
  <c r="C166" i="27"/>
  <c r="C368" i="9"/>
  <c r="C67"/>
  <c r="I74" i="22" l="1"/>
  <c r="F13" i="8"/>
  <c r="F18" s="1"/>
  <c r="G6"/>
  <c r="F4"/>
  <c r="F23" s="1"/>
  <c r="E14"/>
  <c r="E20" s="1"/>
  <c r="E23"/>
  <c r="C249" i="22"/>
  <c r="C222"/>
  <c r="C228" s="1"/>
  <c r="C224"/>
  <c r="C229" s="1"/>
  <c r="D249"/>
  <c r="D222"/>
  <c r="D228" s="1"/>
  <c r="D224"/>
  <c r="D229" s="1"/>
  <c r="J249"/>
  <c r="J222"/>
  <c r="J228" s="1"/>
  <c r="J224"/>
  <c r="J229" s="1"/>
  <c r="K257"/>
  <c r="K255"/>
  <c r="E249"/>
  <c r="E222"/>
  <c r="E228" s="1"/>
  <c r="E224"/>
  <c r="E229" s="1"/>
  <c r="C257"/>
  <c r="C255"/>
  <c r="D257"/>
  <c r="D255"/>
  <c r="J257"/>
  <c r="J255"/>
  <c r="K249"/>
  <c r="K222"/>
  <c r="K228" s="1"/>
  <c r="K224"/>
  <c r="K229" s="1"/>
  <c r="E257"/>
  <c r="E255"/>
  <c r="H222"/>
  <c r="H228" s="1"/>
  <c r="H224"/>
  <c r="H229" s="1"/>
  <c r="H249"/>
  <c r="I224"/>
  <c r="I229" s="1"/>
  <c r="I249"/>
  <c r="I222"/>
  <c r="I228" s="1"/>
  <c r="F222"/>
  <c r="F228" s="1"/>
  <c r="F224"/>
  <c r="F229" s="1"/>
  <c r="F249"/>
  <c r="G257"/>
  <c r="G255"/>
  <c r="H257"/>
  <c r="H255"/>
  <c r="I257"/>
  <c r="I255"/>
  <c r="F255"/>
  <c r="F257"/>
  <c r="G224"/>
  <c r="G229" s="1"/>
  <c r="G249"/>
  <c r="G222"/>
  <c r="G228" s="1"/>
  <c r="E187"/>
  <c r="I187"/>
  <c r="G187"/>
  <c r="H109"/>
  <c r="J187"/>
  <c r="H187"/>
  <c r="D187"/>
  <c r="F187"/>
  <c r="K187"/>
  <c r="H82"/>
  <c r="H88" s="1"/>
  <c r="H91" s="1"/>
  <c r="C82"/>
  <c r="C88" s="1"/>
  <c r="C84"/>
  <c r="C89" s="1"/>
  <c r="C92" s="1"/>
  <c r="J84"/>
  <c r="J89" s="1"/>
  <c r="J82"/>
  <c r="J88" s="1"/>
  <c r="J91" s="1"/>
  <c r="I84"/>
  <c r="I89" s="1"/>
  <c r="E150"/>
  <c r="E179" s="1"/>
  <c r="D150"/>
  <c r="D179" s="1"/>
  <c r="F150"/>
  <c r="F179" s="1"/>
  <c r="G150"/>
  <c r="G179" s="1"/>
  <c r="C147"/>
  <c r="C148" s="1"/>
  <c r="J150"/>
  <c r="J179" s="1"/>
  <c r="H150"/>
  <c r="H179" s="1"/>
  <c r="I150"/>
  <c r="I179" s="1"/>
  <c r="K150"/>
  <c r="K179" s="1"/>
  <c r="D109"/>
  <c r="K82"/>
  <c r="K88" s="1"/>
  <c r="K91" s="1"/>
  <c r="F141"/>
  <c r="F144"/>
  <c r="E142"/>
  <c r="E145"/>
  <c r="H144"/>
  <c r="H141"/>
  <c r="I144"/>
  <c r="I141"/>
  <c r="C142"/>
  <c r="C145"/>
  <c r="I145"/>
  <c r="I142"/>
  <c r="F145"/>
  <c r="F142"/>
  <c r="E144"/>
  <c r="E141"/>
  <c r="G145"/>
  <c r="G142"/>
  <c r="K84"/>
  <c r="K89" s="1"/>
  <c r="K95" s="1"/>
  <c r="K98" s="1"/>
  <c r="K104" s="1"/>
  <c r="E109"/>
  <c r="I109"/>
  <c r="J142"/>
  <c r="J145"/>
  <c r="H142"/>
  <c r="H145"/>
  <c r="K144"/>
  <c r="K141"/>
  <c r="G144"/>
  <c r="G141"/>
  <c r="C144"/>
  <c r="C141"/>
  <c r="D145"/>
  <c r="D142"/>
  <c r="J144"/>
  <c r="J141"/>
  <c r="D144"/>
  <c r="D141"/>
  <c r="K145"/>
  <c r="K142"/>
  <c r="D84"/>
  <c r="D89" s="1"/>
  <c r="D92" s="1"/>
  <c r="E84"/>
  <c r="E89" s="1"/>
  <c r="E92" s="1"/>
  <c r="F82"/>
  <c r="F88" s="1"/>
  <c r="F94" s="1"/>
  <c r="F97" s="1"/>
  <c r="F103" s="1"/>
  <c r="F84"/>
  <c r="F89" s="1"/>
  <c r="F95" s="1"/>
  <c r="F98" s="1"/>
  <c r="F104" s="1"/>
  <c r="D94"/>
  <c r="D97" s="1"/>
  <c r="D103" s="1"/>
  <c r="D91"/>
  <c r="G92"/>
  <c r="G95"/>
  <c r="G98" s="1"/>
  <c r="G104" s="1"/>
  <c r="E91"/>
  <c r="E94"/>
  <c r="E97" s="1"/>
  <c r="E103" s="1"/>
  <c r="H92"/>
  <c r="H95"/>
  <c r="H98" s="1"/>
  <c r="H104" s="1"/>
  <c r="G91"/>
  <c r="G94"/>
  <c r="G97" s="1"/>
  <c r="G103" s="1"/>
  <c r="H94"/>
  <c r="H97" s="1"/>
  <c r="H103" s="1"/>
  <c r="I95"/>
  <c r="I98" s="1"/>
  <c r="I104" s="1"/>
  <c r="I92"/>
  <c r="C91"/>
  <c r="C94"/>
  <c r="C97" s="1"/>
  <c r="C103" s="1"/>
  <c r="J92"/>
  <c r="J95"/>
  <c r="J98" s="1"/>
  <c r="J104" s="1"/>
  <c r="I91"/>
  <c r="I94"/>
  <c r="I97" s="1"/>
  <c r="I103" s="1"/>
  <c r="D95"/>
  <c r="D98" s="1"/>
  <c r="D104" s="1"/>
  <c r="J94"/>
  <c r="J97" s="1"/>
  <c r="J103" s="1"/>
  <c r="F115"/>
  <c r="G115"/>
  <c r="J115"/>
  <c r="H115"/>
  <c r="C115"/>
  <c r="D115"/>
  <c r="K115"/>
  <c r="E115"/>
  <c r="I115"/>
  <c r="C68" i="9"/>
  <c r="F482"/>
  <c r="F481"/>
  <c r="D15" i="27"/>
  <c r="E15" s="1"/>
  <c r="E14"/>
  <c r="E167"/>
  <c r="C75"/>
  <c r="C76" s="1"/>
  <c r="C74"/>
  <c r="D49"/>
  <c r="D50" s="1"/>
  <c r="D34"/>
  <c r="D35" s="1"/>
  <c r="C160"/>
  <c r="F16"/>
  <c r="C73" i="26"/>
  <c r="D116" i="3"/>
  <c r="C350" i="9" s="1"/>
  <c r="B117" i="3"/>
  <c r="C117"/>
  <c r="C370" i="9"/>
  <c r="C116" i="3"/>
  <c r="C158" i="20"/>
  <c r="C75"/>
  <c r="C76" s="1"/>
  <c r="D34"/>
  <c r="D35" s="1"/>
  <c r="C35" s="1"/>
  <c r="C34" s="1"/>
  <c r="C86"/>
  <c r="F16" s="1"/>
  <c r="E158"/>
  <c r="C74"/>
  <c r="E108" i="3"/>
  <c r="E114"/>
  <c r="E112"/>
  <c r="D49" i="20"/>
  <c r="D50" s="1"/>
  <c r="C50" s="1"/>
  <c r="E14"/>
  <c r="D117" i="3"/>
  <c r="E113"/>
  <c r="E115"/>
  <c r="C92" i="16"/>
  <c r="F8" s="1"/>
  <c r="C86"/>
  <c r="F16" s="1"/>
  <c r="C75"/>
  <c r="C76" s="1"/>
  <c r="D49"/>
  <c r="D50" s="1"/>
  <c r="C50" s="1"/>
  <c r="C49" s="1"/>
  <c r="C74"/>
  <c r="D81"/>
  <c r="C34"/>
  <c r="C116" i="20"/>
  <c r="C135"/>
  <c r="C138" i="16"/>
  <c r="C136"/>
  <c r="E140" i="20"/>
  <c r="C138"/>
  <c r="C135" i="16"/>
  <c r="D14"/>
  <c r="E168" i="27"/>
  <c r="C116" i="16"/>
  <c r="C136" i="20"/>
  <c r="E150" i="16"/>
  <c r="D116"/>
  <c r="D372" i="9"/>
  <c r="C95" i="22" l="1"/>
  <c r="C98" s="1"/>
  <c r="C104" s="1"/>
  <c r="G13" i="8"/>
  <c r="G18" s="1"/>
  <c r="H6"/>
  <c r="G4"/>
  <c r="G23" s="1"/>
  <c r="F14"/>
  <c r="F20" s="1"/>
  <c r="G231" i="22"/>
  <c r="G234"/>
  <c r="G237" s="1"/>
  <c r="F232"/>
  <c r="F235"/>
  <c r="F238" s="1"/>
  <c r="I232"/>
  <c r="I235"/>
  <c r="I238" s="1"/>
  <c r="E231"/>
  <c r="E234"/>
  <c r="E237" s="1"/>
  <c r="J235"/>
  <c r="J238" s="1"/>
  <c r="J232"/>
  <c r="D234"/>
  <c r="D237" s="1"/>
  <c r="D231"/>
  <c r="H234"/>
  <c r="H237" s="1"/>
  <c r="H231"/>
  <c r="K234"/>
  <c r="K237" s="1"/>
  <c r="K231"/>
  <c r="E235"/>
  <c r="E238" s="1"/>
  <c r="E232"/>
  <c r="D232"/>
  <c r="D235"/>
  <c r="D238" s="1"/>
  <c r="C234"/>
  <c r="C237" s="1"/>
  <c r="C231"/>
  <c r="G232"/>
  <c r="G235"/>
  <c r="G238" s="1"/>
  <c r="I234"/>
  <c r="I237" s="1"/>
  <c r="I231"/>
  <c r="H232"/>
  <c r="H235"/>
  <c r="H238" s="1"/>
  <c r="K235"/>
  <c r="K238" s="1"/>
  <c r="K232"/>
  <c r="C232"/>
  <c r="C235"/>
  <c r="C238" s="1"/>
  <c r="F231"/>
  <c r="F234"/>
  <c r="F237" s="1"/>
  <c r="J234"/>
  <c r="J237" s="1"/>
  <c r="J231"/>
  <c r="C150"/>
  <c r="C179" s="1"/>
  <c r="C183"/>
  <c r="F92"/>
  <c r="E152"/>
  <c r="E158" s="1"/>
  <c r="E154"/>
  <c r="E159" s="1"/>
  <c r="K154"/>
  <c r="K159" s="1"/>
  <c r="K152"/>
  <c r="K158" s="1"/>
  <c r="H154"/>
  <c r="H159" s="1"/>
  <c r="H152"/>
  <c r="H158" s="1"/>
  <c r="F154"/>
  <c r="F159" s="1"/>
  <c r="F152"/>
  <c r="F158" s="1"/>
  <c r="I152"/>
  <c r="I158" s="1"/>
  <c r="I154"/>
  <c r="I159" s="1"/>
  <c r="G152"/>
  <c r="G158" s="1"/>
  <c r="G154"/>
  <c r="G159" s="1"/>
  <c r="J152"/>
  <c r="J158" s="1"/>
  <c r="J154"/>
  <c r="J159" s="1"/>
  <c r="D152"/>
  <c r="D158" s="1"/>
  <c r="D154"/>
  <c r="D159" s="1"/>
  <c r="C152"/>
  <c r="C158" s="1"/>
  <c r="K94"/>
  <c r="K97" s="1"/>
  <c r="K92"/>
  <c r="E95"/>
  <c r="E98" s="1"/>
  <c r="E101" s="1"/>
  <c r="F91"/>
  <c r="C49" i="20"/>
  <c r="C161" i="27"/>
  <c r="E160"/>
  <c r="E161" s="1"/>
  <c r="C74" i="26"/>
  <c r="C75"/>
  <c r="C76" s="1"/>
  <c r="D49"/>
  <c r="D50" s="1"/>
  <c r="D34"/>
  <c r="D35" s="1"/>
  <c r="C125" i="9"/>
  <c r="E116" i="3"/>
  <c r="E117"/>
  <c r="E158" i="16"/>
  <c r="C158"/>
  <c r="E14"/>
  <c r="E149" i="26"/>
  <c r="D117" i="20"/>
  <c r="E147" i="16"/>
  <c r="E150" i="20"/>
  <c r="E138" i="26"/>
  <c r="C117" i="20"/>
  <c r="D116"/>
  <c r="D117" i="16"/>
  <c r="C117"/>
  <c r="D116" i="26"/>
  <c r="D117"/>
  <c r="E140" i="16"/>
  <c r="C154" i="22" l="1"/>
  <c r="C159" s="1"/>
  <c r="H13" i="8"/>
  <c r="H18" s="1"/>
  <c r="I6"/>
  <c r="H4"/>
  <c r="H23" s="1"/>
  <c r="G14"/>
  <c r="G20" s="1"/>
  <c r="K244" i="22"/>
  <c r="K241"/>
  <c r="I243"/>
  <c r="I240"/>
  <c r="C243"/>
  <c r="C240"/>
  <c r="E244"/>
  <c r="E241"/>
  <c r="H243"/>
  <c r="H240"/>
  <c r="J241"/>
  <c r="J244"/>
  <c r="F243"/>
  <c r="F240"/>
  <c r="I244"/>
  <c r="I241"/>
  <c r="G240"/>
  <c r="G243"/>
  <c r="J240"/>
  <c r="J243"/>
  <c r="K240"/>
  <c r="K243"/>
  <c r="D243"/>
  <c r="D240"/>
  <c r="C244"/>
  <c r="C241"/>
  <c r="H244"/>
  <c r="H241"/>
  <c r="G244"/>
  <c r="G241"/>
  <c r="D244"/>
  <c r="D241"/>
  <c r="E243"/>
  <c r="E240"/>
  <c r="F241"/>
  <c r="F244"/>
  <c r="C185"/>
  <c r="C187"/>
  <c r="I185"/>
  <c r="J185"/>
  <c r="K185"/>
  <c r="H185"/>
  <c r="G185"/>
  <c r="F185"/>
  <c r="E185"/>
  <c r="D185"/>
  <c r="F100"/>
  <c r="K103"/>
  <c r="G101"/>
  <c r="F101"/>
  <c r="E104"/>
  <c r="C101"/>
  <c r="D162"/>
  <c r="D165"/>
  <c r="D168" s="1"/>
  <c r="D174" s="1"/>
  <c r="J165"/>
  <c r="J168" s="1"/>
  <c r="J174" s="1"/>
  <c r="J162"/>
  <c r="I164"/>
  <c r="I167" s="1"/>
  <c r="I173" s="1"/>
  <c r="I161"/>
  <c r="K164"/>
  <c r="K167" s="1"/>
  <c r="K173" s="1"/>
  <c r="K161"/>
  <c r="G165"/>
  <c r="G168" s="1"/>
  <c r="G174" s="1"/>
  <c r="G162"/>
  <c r="E164"/>
  <c r="E167" s="1"/>
  <c r="E173" s="1"/>
  <c r="E161"/>
  <c r="D161"/>
  <c r="D164"/>
  <c r="D167" s="1"/>
  <c r="D173" s="1"/>
  <c r="I165"/>
  <c r="I168" s="1"/>
  <c r="I174" s="1"/>
  <c r="I162"/>
  <c r="F165"/>
  <c r="F168" s="1"/>
  <c r="F174" s="1"/>
  <c r="F162"/>
  <c r="H162"/>
  <c r="H165"/>
  <c r="H168" s="1"/>
  <c r="H174" s="1"/>
  <c r="E162"/>
  <c r="E165"/>
  <c r="E168" s="1"/>
  <c r="E174" s="1"/>
  <c r="D101"/>
  <c r="J164"/>
  <c r="J167" s="1"/>
  <c r="J173" s="1"/>
  <c r="J161"/>
  <c r="G161"/>
  <c r="G164"/>
  <c r="G167" s="1"/>
  <c r="G173" s="1"/>
  <c r="F161"/>
  <c r="F164"/>
  <c r="F167" s="1"/>
  <c r="F173" s="1"/>
  <c r="H161"/>
  <c r="H164"/>
  <c r="H167" s="1"/>
  <c r="H173" s="1"/>
  <c r="K165"/>
  <c r="K168" s="1"/>
  <c r="K174" s="1"/>
  <c r="K162"/>
  <c r="G100"/>
  <c r="E100"/>
  <c r="K100"/>
  <c r="C100"/>
  <c r="D100"/>
  <c r="H100"/>
  <c r="I100"/>
  <c r="J100"/>
  <c r="C165"/>
  <c r="C168" s="1"/>
  <c r="C174" s="1"/>
  <c r="C162"/>
  <c r="C161"/>
  <c r="C164"/>
  <c r="C167" s="1"/>
  <c r="C173" s="1"/>
  <c r="H101"/>
  <c r="J101"/>
  <c r="K101"/>
  <c r="I101"/>
  <c r="F118" i="20"/>
  <c r="C120"/>
  <c r="C118"/>
  <c r="B116" s="1"/>
  <c r="F118" i="26"/>
  <c r="C163" i="27"/>
  <c r="D114" s="1"/>
  <c r="C162"/>
  <c r="D112" s="1"/>
  <c r="D124"/>
  <c r="E162"/>
  <c r="F112" s="1"/>
  <c r="E163"/>
  <c r="F114" s="1"/>
  <c r="F124"/>
  <c r="E140" i="26"/>
  <c r="C34"/>
  <c r="C91" s="1"/>
  <c r="C49"/>
  <c r="C85" s="1"/>
  <c r="C118" i="16"/>
  <c r="C120"/>
  <c r="E149"/>
  <c r="E153" i="26"/>
  <c r="E137" i="16"/>
  <c r="E147" i="20"/>
  <c r="C140"/>
  <c r="E142" i="26"/>
  <c r="E187"/>
  <c r="E184"/>
  <c r="E151" i="16"/>
  <c r="C149" i="26"/>
  <c r="C150" i="20"/>
  <c r="C147" s="1"/>
  <c r="C140" i="16"/>
  <c r="E137" i="20"/>
  <c r="E185" i="16"/>
  <c r="C150"/>
  <c r="J6" i="8" l="1"/>
  <c r="I13"/>
  <c r="I18" s="1"/>
  <c r="H14"/>
  <c r="H20" s="1"/>
  <c r="I4"/>
  <c r="I171" i="22"/>
  <c r="H171"/>
  <c r="C171"/>
  <c r="E171"/>
  <c r="F171"/>
  <c r="D171"/>
  <c r="J171"/>
  <c r="G171"/>
  <c r="K171"/>
  <c r="J170"/>
  <c r="G170"/>
  <c r="F170"/>
  <c r="D170"/>
  <c r="E170"/>
  <c r="K170"/>
  <c r="I170"/>
  <c r="C170"/>
  <c r="H170"/>
  <c r="C160" i="26"/>
  <c r="E160" s="1"/>
  <c r="F16"/>
  <c r="F8"/>
  <c r="D81"/>
  <c r="C121" i="20"/>
  <c r="C127" s="1"/>
  <c r="E149"/>
  <c r="B103"/>
  <c r="C123"/>
  <c r="C124" s="1"/>
  <c r="E156" i="26"/>
  <c r="E159" s="1"/>
  <c r="E165" s="1"/>
  <c r="C151"/>
  <c r="E151"/>
  <c r="C120"/>
  <c r="C118"/>
  <c r="B103" i="16"/>
  <c r="E139" i="20"/>
  <c r="C149"/>
  <c r="E139" i="16"/>
  <c r="C121"/>
  <c r="C127" s="1"/>
  <c r="C123"/>
  <c r="C124" s="1"/>
  <c r="D159" s="1"/>
  <c r="B116"/>
  <c r="C137"/>
  <c r="D14" i="26"/>
  <c r="E182" i="16"/>
  <c r="E185" i="20"/>
  <c r="E141" i="16"/>
  <c r="E186" i="26"/>
  <c r="C153"/>
  <c r="E182" i="20"/>
  <c r="C184" i="26"/>
  <c r="C147" i="16"/>
  <c r="E166" i="26"/>
  <c r="C141"/>
  <c r="C137" i="20"/>
  <c r="C182" s="1"/>
  <c r="E151"/>
  <c r="C151"/>
  <c r="E141"/>
  <c r="C185"/>
  <c r="I14" i="8" l="1"/>
  <c r="I20" s="1"/>
  <c r="J4"/>
  <c r="J13"/>
  <c r="J18" s="1"/>
  <c r="K6"/>
  <c r="I23"/>
  <c r="E14" i="26"/>
  <c r="C139" i="20"/>
  <c r="D159"/>
  <c r="C126"/>
  <c r="C129" s="1"/>
  <c r="E161" i="26"/>
  <c r="E167"/>
  <c r="B103"/>
  <c r="C123"/>
  <c r="C124" s="1"/>
  <c r="C121"/>
  <c r="C127" s="1"/>
  <c r="B116"/>
  <c r="E154" i="16"/>
  <c r="E159" s="1"/>
  <c r="C139"/>
  <c r="E154" i="20"/>
  <c r="E157" s="1"/>
  <c r="C126" i="16"/>
  <c r="C129" s="1"/>
  <c r="C149"/>
  <c r="E184" i="20"/>
  <c r="C138" i="26"/>
  <c r="C142"/>
  <c r="C141" i="20"/>
  <c r="C185" i="16"/>
  <c r="C184" i="20"/>
  <c r="C151" i="16"/>
  <c r="C141"/>
  <c r="C186" i="26"/>
  <c r="C182" i="16"/>
  <c r="E184"/>
  <c r="E168" i="26"/>
  <c r="C172"/>
  <c r="C156" l="1"/>
  <c r="C161" s="1"/>
  <c r="C163" s="1"/>
  <c r="D114" s="1"/>
  <c r="C178"/>
  <c r="C140"/>
  <c r="K13" i="8"/>
  <c r="K18" s="1"/>
  <c r="J14"/>
  <c r="J20" s="1"/>
  <c r="K4"/>
  <c r="K14" s="1"/>
  <c r="K20" s="1"/>
  <c r="J23"/>
  <c r="C154" i="20"/>
  <c r="C157" s="1"/>
  <c r="C163" s="1"/>
  <c r="C176"/>
  <c r="C174" i="26"/>
  <c r="C175" s="1"/>
  <c r="E163"/>
  <c r="F114" s="1"/>
  <c r="E162"/>
  <c r="F112" s="1"/>
  <c r="F124"/>
  <c r="C162"/>
  <c r="D112" s="1"/>
  <c r="D161"/>
  <c r="C126"/>
  <c r="C129" s="1"/>
  <c r="C159"/>
  <c r="D124"/>
  <c r="E157" i="16"/>
  <c r="E165" s="1"/>
  <c r="E159" i="20"/>
  <c r="E161" s="1"/>
  <c r="F114" s="1"/>
  <c r="E165"/>
  <c r="E163"/>
  <c r="C176" i="16"/>
  <c r="C154"/>
  <c r="C157" s="1"/>
  <c r="E161"/>
  <c r="F114" s="1"/>
  <c r="E160"/>
  <c r="F112" s="1"/>
  <c r="F124"/>
  <c r="C164" i="20"/>
  <c r="C170"/>
  <c r="E166" i="16"/>
  <c r="E164" i="20"/>
  <c r="C187" i="26"/>
  <c r="C170" i="16"/>
  <c r="C184"/>
  <c r="E166" i="20"/>
  <c r="K23" i="8" l="1"/>
  <c r="C172" i="20"/>
  <c r="C173" s="1"/>
  <c r="D15"/>
  <c r="E15" s="1"/>
  <c r="C165"/>
  <c r="C159"/>
  <c r="C160" s="1"/>
  <c r="D112" s="1"/>
  <c r="C176" i="26"/>
  <c r="C167"/>
  <c r="C165"/>
  <c r="E163" i="16"/>
  <c r="E160" i="20"/>
  <c r="F112" s="1"/>
  <c r="F124"/>
  <c r="C172" i="16"/>
  <c r="C174" s="1"/>
  <c r="C174" i="20"/>
  <c r="C159" i="16"/>
  <c r="C160" s="1"/>
  <c r="D112" s="1"/>
  <c r="C165"/>
  <c r="C163"/>
  <c r="C164"/>
  <c r="C166" i="26"/>
  <c r="C166" i="20"/>
  <c r="E164" i="16"/>
  <c r="C168" i="26"/>
  <c r="C166" i="16"/>
  <c r="C161" i="20" l="1"/>
  <c r="D114" s="1"/>
  <c r="D124"/>
  <c r="D7"/>
  <c r="E7" s="1"/>
  <c r="D7" i="26"/>
  <c r="E7" s="1"/>
  <c r="D15"/>
  <c r="E15" s="1"/>
  <c r="C173" i="16"/>
  <c r="D124"/>
  <c r="C161"/>
  <c r="D114" s="1"/>
  <c r="D15"/>
  <c r="E15" s="1"/>
  <c r="D7"/>
  <c r="E7" s="1"/>
  <c r="C28" i="9"/>
  <c r="C482" s="1"/>
  <c r="C54"/>
  <c r="C481" l="1"/>
  <c r="C55"/>
  <c r="C56" s="1"/>
  <c r="C61" s="1"/>
  <c r="C57" l="1"/>
  <c r="C250" s="1"/>
  <c r="C251" s="1"/>
  <c r="C428"/>
  <c r="C323"/>
  <c r="C429"/>
  <c r="C324"/>
  <c r="C58" l="1"/>
  <c r="C59"/>
  <c r="C60" s="1"/>
  <c r="C91" i="28"/>
  <c r="C18"/>
  <c r="C181"/>
  <c r="C151"/>
  <c r="D28" i="9"/>
  <c r="C71"/>
  <c r="F71"/>
  <c r="G71"/>
  <c r="C72"/>
  <c r="C73"/>
  <c r="C74"/>
  <c r="C75"/>
  <c r="E75"/>
  <c r="C76"/>
  <c r="C78"/>
  <c r="C79"/>
  <c r="C120"/>
  <c r="C122"/>
  <c r="C126"/>
  <c r="C128"/>
  <c r="C129"/>
  <c r="C130"/>
  <c r="C131"/>
  <c r="C133"/>
  <c r="C137"/>
  <c r="C138"/>
  <c r="C140"/>
  <c r="C141"/>
  <c r="C146"/>
  <c r="C147"/>
  <c r="C165"/>
  <c r="C169"/>
  <c r="D170"/>
  <c r="C171"/>
  <c r="C172"/>
  <c r="C173"/>
  <c r="C174"/>
  <c r="C178"/>
  <c r="C179"/>
  <c r="C183"/>
  <c r="C187"/>
  <c r="C188"/>
  <c r="C189"/>
  <c r="C190"/>
  <c r="C191"/>
  <c r="C192"/>
  <c r="C195"/>
  <c r="C196"/>
  <c r="C197"/>
  <c r="C198"/>
  <c r="C199"/>
  <c r="C203"/>
  <c r="C204"/>
  <c r="C205"/>
  <c r="C206"/>
  <c r="C207"/>
  <c r="C208"/>
  <c r="C212"/>
  <c r="C213"/>
  <c r="C238"/>
  <c r="C240"/>
  <c r="C241"/>
  <c r="C242"/>
  <c r="C243"/>
  <c r="C248"/>
  <c r="C280"/>
  <c r="C282"/>
  <c r="C320"/>
  <c r="C321"/>
  <c r="D323"/>
  <c r="C326"/>
  <c r="C327"/>
  <c r="D327"/>
  <c r="C328"/>
  <c r="C329"/>
  <c r="C331"/>
  <c r="D331"/>
  <c r="C332"/>
  <c r="D332"/>
  <c r="C333"/>
  <c r="D333"/>
  <c r="C334"/>
  <c r="D334"/>
  <c r="C336"/>
  <c r="C339"/>
  <c r="C340"/>
  <c r="C341"/>
  <c r="C342"/>
  <c r="C343"/>
  <c r="C344"/>
  <c r="C345"/>
  <c r="C346"/>
  <c r="C347"/>
  <c r="D347"/>
  <c r="C351"/>
  <c r="C353"/>
  <c r="C354"/>
  <c r="C355"/>
  <c r="C356"/>
  <c r="C358"/>
  <c r="C359"/>
  <c r="C360"/>
  <c r="C362"/>
  <c r="C375"/>
  <c r="C376"/>
  <c r="C377"/>
  <c r="C378"/>
  <c r="C380"/>
  <c r="C381"/>
  <c r="C382"/>
  <c r="C383"/>
  <c r="C402"/>
  <c r="C425"/>
  <c r="C426"/>
  <c r="D428"/>
  <c r="C431"/>
  <c r="C432"/>
  <c r="D432"/>
  <c r="C434"/>
  <c r="C446"/>
  <c r="C447"/>
  <c r="C448"/>
  <c r="C449"/>
  <c r="C450"/>
  <c r="C451"/>
  <c r="C452"/>
  <c r="C453"/>
  <c r="C454"/>
  <c r="D454"/>
  <c r="C467"/>
  <c r="C468"/>
  <c r="C469"/>
  <c r="C472"/>
  <c r="C473"/>
  <c r="C474"/>
  <c r="C475"/>
  <c r="D481"/>
  <c r="E481"/>
  <c r="D482"/>
  <c r="E482"/>
  <c r="D483"/>
  <c r="E483"/>
  <c r="F484"/>
  <c r="C21" i="28"/>
  <c r="C22"/>
  <c r="C25"/>
  <c r="C26"/>
  <c r="C29"/>
  <c r="C34"/>
  <c r="C36"/>
  <c r="C37"/>
  <c r="C38"/>
  <c r="C51"/>
  <c r="C52"/>
  <c r="C55"/>
  <c r="C56"/>
  <c r="C59"/>
  <c r="C64"/>
  <c r="C66"/>
  <c r="C67"/>
  <c r="C68"/>
  <c r="C81"/>
  <c r="C82"/>
  <c r="C85"/>
  <c r="C86"/>
  <c r="C89"/>
  <c r="C94"/>
  <c r="C96"/>
  <c r="C97"/>
  <c r="C98"/>
  <c r="C111"/>
  <c r="C112"/>
  <c r="C115"/>
  <c r="C116"/>
  <c r="C119"/>
  <c r="C124"/>
  <c r="C126"/>
  <c r="C127"/>
  <c r="C128"/>
  <c r="C141"/>
  <c r="C142"/>
  <c r="C145"/>
  <c r="C146"/>
  <c r="C149"/>
  <c r="C154"/>
  <c r="C156"/>
  <c r="C157"/>
  <c r="C158"/>
  <c r="C171"/>
  <c r="C172"/>
  <c r="C175"/>
  <c r="C176"/>
  <c r="C179"/>
  <c r="C184"/>
  <c r="C186"/>
  <c r="C187"/>
  <c r="C188"/>
</calcChain>
</file>

<file path=xl/sharedStrings.xml><?xml version="1.0" encoding="utf-8"?>
<sst xmlns="http://schemas.openxmlformats.org/spreadsheetml/2006/main" count="4497" uniqueCount="1146">
  <si>
    <t>Phi3</t>
  </si>
  <si>
    <t>Определение технического уровня трубчатой печи</t>
  </si>
  <si>
    <t>qf, Вт/м2</t>
  </si>
  <si>
    <t>qt, Вт/м2</t>
  </si>
  <si>
    <t>Phi1</t>
  </si>
  <si>
    <t>Phi2</t>
  </si>
  <si>
    <t>EtaN</t>
  </si>
  <si>
    <t>EtaER</t>
  </si>
  <si>
    <t>DzetaR</t>
  </si>
  <si>
    <t>Hx, м2</t>
  </si>
  <si>
    <t>F, м2</t>
  </si>
  <si>
    <t>Имя в программе</t>
  </si>
  <si>
    <t xml:space="preserve">Наименование и описание </t>
  </si>
  <si>
    <t>f_NewNew(E)</t>
  </si>
  <si>
    <t>Возвращает результат тренировочного вычисления, моя игрушка</t>
  </si>
  <si>
    <t>f_b_001_f_01_Phi3(qf,qt)</t>
  </si>
  <si>
    <t>f_b_001_f_02_EtaN(Phi1,Phi2,Phi3)</t>
  </si>
  <si>
    <t>f_b_001_f_03_EtaER(Hx,F,EtaN)</t>
  </si>
  <si>
    <t>f_b_001_f_04_DzetaR(EtaER)</t>
  </si>
  <si>
    <t>f_b_001_f_05_F(D,ro,w)</t>
  </si>
  <si>
    <t>f_b_001_f_06_W(D,ro,d,n)</t>
  </si>
  <si>
    <t>f_b_001_f_07_ir(i2,Qp,D,tp,tyx)</t>
  </si>
  <si>
    <t>f_b_001_f_08_qf(qfs,Phi1,Phi1s,Phi2,Phi2s,Phi3,Phi3s)</t>
  </si>
  <si>
    <t>f_b_001_f_09_OtnPhi3(qd1,qd2,a)</t>
  </si>
  <si>
    <t>f_b_001_f_10_qd1(Teta_dop,Tay_p,Alfa_p,Phi1,Phi2)</t>
  </si>
  <si>
    <t>f_b_001_f_11_qd2(Teta_dop,Tay_2,Alfa_2,Phi1,Phi2)</t>
  </si>
  <si>
    <t>f_b_001_f_12_Tp(Psi,Cs,Hp,Hs,qf,qp,Teta)</t>
  </si>
  <si>
    <t>f_b_001_f_13_Psi(lf,lt)</t>
  </si>
  <si>
    <t>f_b_001_f_14_Psi(lf,lt)</t>
  </si>
  <si>
    <t>f_b_001_f_15_Psi(lf,lt)</t>
  </si>
  <si>
    <t>f_b_001_f_16_qp(Alfak,Psik,Tp,Teta)</t>
  </si>
  <si>
    <t>f_b_001_f_17_Alfak(a,Tp,Teta)</t>
  </si>
  <si>
    <t>f_b_001_f_18_TetaN(TaySr,qp,Alfa2,Delta3,Lambda3)</t>
  </si>
  <si>
    <t>f_b_001_f_19_TaySr(Tay1,Tay2)</t>
  </si>
  <si>
    <t>f_b_002_f_02_Sisp(Sr,f,c1,c2)</t>
  </si>
  <si>
    <t>f_b_002_f_03_Smin(Dn)</t>
  </si>
  <si>
    <t>f_b_002_f_01_SrTube(P,Dn,Sigma)</t>
  </si>
  <si>
    <t>f_b_002_f_04_f(T,TypeStile)</t>
  </si>
  <si>
    <t>f_b_002_f_05_Y(RDn)</t>
  </si>
  <si>
    <t>f_b_002_f_06_SrOtv(P,Dn,Sigma,Y)</t>
  </si>
  <si>
    <t>f_b_002_f_07_DeltaRast(Dvn,b,S,c)</t>
  </si>
  <si>
    <t>f_b_002_f_08_SrRast(P,Dn,Sigma,Y,DeltaRast)</t>
  </si>
  <si>
    <t>f_b_002_f_09_STubeOtvRast(P,Dn,Sigma,Y,f,b,Sisp,c,c1,c2)</t>
  </si>
  <si>
    <t>f_b_002_f_10_NomSigmaTube(varSource, varMetall, varResource, varTemperature)</t>
  </si>
  <si>
    <t>f_b_002_f_11_ShowRecordBDSigma(varSource,varMetall)</t>
  </si>
  <si>
    <t>BD_b_002_Sigma</t>
  </si>
  <si>
    <t>Fuel name</t>
  </si>
  <si>
    <t>Fuel type identifier</t>
  </si>
  <si>
    <t>gaseous</t>
  </si>
  <si>
    <t>Mass / molar composition</t>
  </si>
  <si>
    <t>Weight flowrate or %</t>
  </si>
  <si>
    <t>Mole flowrate or %</t>
  </si>
  <si>
    <t>Methane/Метан (CH4)</t>
  </si>
  <si>
    <t>Ethane/Этан (С2H6)</t>
  </si>
  <si>
    <t>Propane/Пропан (C3H8)</t>
  </si>
  <si>
    <t>Butanes/Бутан (C4H10)</t>
  </si>
  <si>
    <t>Pentanes/Пентан (С5H12)</t>
  </si>
  <si>
    <t>Hexanes/Гексан (С6H14)</t>
  </si>
  <si>
    <t>Cyclohexane/Циклогексан (С6Н12)</t>
  </si>
  <si>
    <t>Benzene/Бензол (С6H6)</t>
  </si>
  <si>
    <t>Ethene/Этилен (С2Н4)</t>
  </si>
  <si>
    <t>Propene/Пропилен(С3H6)</t>
  </si>
  <si>
    <t>Butenes/Бутелен-1 (С4H8)</t>
  </si>
  <si>
    <t>Pentenes/Пентен (С5H10)</t>
  </si>
  <si>
    <t>Butadienes/Бутадиен (С4H6)</t>
  </si>
  <si>
    <t>Acetylene/Ацетилен (С2Н2)</t>
  </si>
  <si>
    <t>Hydrogen/Водород (H2)</t>
  </si>
  <si>
    <t xml:space="preserve">Hydrogen sulphide/Сероводород (H2S) </t>
  </si>
  <si>
    <t>Oxygen/Кислород (O2)</t>
  </si>
  <si>
    <t>Nitrogen/Азот (N2)</t>
  </si>
  <si>
    <t>Argon/Аргон (Ar)</t>
  </si>
  <si>
    <t>Water vapor/Водяной пар (H2O)</t>
  </si>
  <si>
    <t>Carbon dioxide/ Углекислый газ (СO2)</t>
  </si>
  <si>
    <t>Carbon monoxide/Угарный газ (CO)</t>
  </si>
  <si>
    <t>Sulphur dioxide/Диоксид Серы (SO2)</t>
  </si>
  <si>
    <t>Число топлив, сжигаемых одновременно</t>
  </si>
  <si>
    <t>Состав газового топлива</t>
  </si>
  <si>
    <t>Состав жидкого топлива</t>
  </si>
  <si>
    <t>CHONS specified</t>
  </si>
  <si>
    <t>Mass / atomic amount</t>
  </si>
  <si>
    <t>mass amount</t>
  </si>
  <si>
    <t>Lower Calorific Value, kJ/kg</t>
  </si>
  <si>
    <t>Fuel specific heat, kJ/(kg*K)</t>
  </si>
  <si>
    <t>Суммарный состав</t>
  </si>
  <si>
    <t>Amount of Carbon/Углерод</t>
  </si>
  <si>
    <t>Amount of Hydrogen/Водород</t>
  </si>
  <si>
    <t>Amount of Nitrogen/Азот</t>
  </si>
  <si>
    <t>Amount of Oxygen/Кислород</t>
  </si>
  <si>
    <t>Amount of Sulphur/Сера</t>
  </si>
  <si>
    <t>Amount of Ash/Зольность</t>
  </si>
  <si>
    <t>Lower Calorific Value, kJ/kg (kJ/m3)</t>
  </si>
  <si>
    <t>Fuel flowrate/Расход газового топлива. кг/с (м3/с)</t>
  </si>
  <si>
    <t>Fuel flowrate/Расход жидкого топлива. кг/с (м3/с)</t>
  </si>
  <si>
    <t>Fuel inlet temperature/Температура газа на входе в горелку, С</t>
  </si>
  <si>
    <t>Fuel inlet temperature/Температура мазута на входе в горелку, С</t>
  </si>
  <si>
    <t>кг/ч</t>
  </si>
  <si>
    <t>кг/с</t>
  </si>
  <si>
    <t>* Температура продукта</t>
  </si>
  <si>
    <t>C</t>
  </si>
  <si>
    <t>* Давление продукта</t>
  </si>
  <si>
    <t>MPa</t>
  </si>
  <si>
    <t>* Плотность продукта</t>
  </si>
  <si>
    <t>kg/m3</t>
  </si>
  <si>
    <t>1) Минимальная скорость продукта</t>
  </si>
  <si>
    <t>m/s</t>
  </si>
  <si>
    <t>2) Максимальная скорость продукта</t>
  </si>
  <si>
    <t>1) Минимальная массовая скорость</t>
  </si>
  <si>
    <t>кг/м2*с</t>
  </si>
  <si>
    <t>2) Максимальная массовая скорость</t>
  </si>
  <si>
    <t>Скорость продукта м/с</t>
  </si>
  <si>
    <t>Площадь проходного сечения, м2</t>
  </si>
  <si>
    <t>Трубы</t>
  </si>
  <si>
    <t>Число потоков</t>
  </si>
  <si>
    <t>мм</t>
  </si>
  <si>
    <t>х</t>
  </si>
  <si>
    <t>Массовая скорость продукта, кг/м2с</t>
  </si>
  <si>
    <t>1) Масовый расход продукта</t>
  </si>
  <si>
    <t>Сжигаемое топливо (1 - газ; 2 - мазут; 3 - смесь топлив)</t>
  </si>
  <si>
    <t>Размерность</t>
  </si>
  <si>
    <t>Величина</t>
  </si>
  <si>
    <t>Значение</t>
  </si>
  <si>
    <t>-</t>
  </si>
  <si>
    <t>Тепло, вносимое воздухом в топку</t>
  </si>
  <si>
    <t>Полезное тепловыделение в топке</t>
  </si>
  <si>
    <t>Теоретическая температура горения</t>
  </si>
  <si>
    <t>С</t>
  </si>
  <si>
    <t>Энтальпия продуктов сгорания на выходе их топки</t>
  </si>
  <si>
    <t>Избыток воздуха на выходе из топки</t>
  </si>
  <si>
    <t>Коэффициент сохранения тепла</t>
  </si>
  <si>
    <t>Расчет топочной камеры</t>
  </si>
  <si>
    <t>Количество тепла, воспринятого в топке по балансу</t>
  </si>
  <si>
    <t>Среднее теплонапряжение радиантной поверхности нагрева</t>
  </si>
  <si>
    <t>кВт/м2</t>
  </si>
  <si>
    <t>кВт/м3</t>
  </si>
  <si>
    <t>Допустимое среднее теплонапряжение поверхности нагрева</t>
  </si>
  <si>
    <t>Допустимое среднее теплонапряжение объема</t>
  </si>
  <si>
    <t>Средня суммарная теплоемкость продуктов сгорания</t>
  </si>
  <si>
    <t>Тепловой баланс</t>
  </si>
  <si>
    <t>Расчетный расход топлива</t>
  </si>
  <si>
    <t>КПД печи</t>
  </si>
  <si>
    <t>Тепловые потери с уходящими газами</t>
  </si>
  <si>
    <t>Тепловые потери от химической неполноты сгорания топлива</t>
  </si>
  <si>
    <t>Тепловые потери от механической неполноты сгорания топлива</t>
  </si>
  <si>
    <t>Тепловые потери в окружающую среду (от наружного охлаждения)</t>
  </si>
  <si>
    <t>Располагаемое количество тепла, вносимого в печь</t>
  </si>
  <si>
    <t>Низшая теплота сгорания топлива</t>
  </si>
  <si>
    <t>Базовые данные</t>
  </si>
  <si>
    <t>Температура холодного воздуха</t>
  </si>
  <si>
    <t>Минимальное превышение температуры уходящих</t>
  </si>
  <si>
    <t>Температура уходящих продуктов сгорания</t>
  </si>
  <si>
    <t>Тип труб конвективной части (1 - оребренная; 2 - гладкая; 3 - особый)</t>
  </si>
  <si>
    <t xml:space="preserve">D рад зм = </t>
  </si>
  <si>
    <t>м</t>
  </si>
  <si>
    <t xml:space="preserve">S под = </t>
  </si>
  <si>
    <t xml:space="preserve">S пот = </t>
  </si>
  <si>
    <t xml:space="preserve">S к стене = </t>
  </si>
  <si>
    <t xml:space="preserve">S отв = </t>
  </si>
  <si>
    <t>l тр =</t>
  </si>
  <si>
    <t xml:space="preserve">H топ = </t>
  </si>
  <si>
    <t xml:space="preserve">к топ = </t>
  </si>
  <si>
    <t xml:space="preserve">D топ по осям = </t>
  </si>
  <si>
    <t xml:space="preserve">D топ по обш = </t>
  </si>
  <si>
    <t xml:space="preserve">n поток = </t>
  </si>
  <si>
    <t xml:space="preserve">n труб = </t>
  </si>
  <si>
    <t xml:space="preserve">n тр в пот = </t>
  </si>
  <si>
    <t>D топ по осям =</t>
  </si>
  <si>
    <t>Ориентировочная масса узлов печи нагрева теплоносителя:</t>
  </si>
  <si>
    <t>Позиция</t>
  </si>
  <si>
    <t>Материал</t>
  </si>
  <si>
    <t>Масса</t>
  </si>
  <si>
    <t>1.  Змеевик:</t>
  </si>
  <si>
    <t>– Радиантный</t>
  </si>
  <si>
    <t>кг</t>
  </si>
  <si>
    <t>– Конвективный</t>
  </si>
  <si>
    <t xml:space="preserve">2. Оребрение: </t>
  </si>
  <si>
    <t>– Продуктового змеевика</t>
  </si>
  <si>
    <t>Сталь 08кп</t>
  </si>
  <si>
    <t>3. Решётки и кронштейны:</t>
  </si>
  <si>
    <t>– Рад. опоры и кроншт.:</t>
  </si>
  <si>
    <t>Сталь 20Х23Н18</t>
  </si>
  <si>
    <t>– Конв. реш-ки:</t>
  </si>
  <si>
    <t>Сталь 12Х18Н10Т</t>
  </si>
  <si>
    <t>4. Каркас:</t>
  </si>
  <si>
    <t>– Камера радиации</t>
  </si>
  <si>
    <t>– Камера конвекции</t>
  </si>
  <si>
    <t>– Переходник</t>
  </si>
  <si>
    <t>– Шибер с приводом</t>
  </si>
  <si>
    <t>5. Рамы и связи</t>
  </si>
  <si>
    <t>6. Площадки обслуживания</t>
  </si>
  <si>
    <t>настил решётчатый из полос на ребро</t>
  </si>
  <si>
    <t>с коррозионным покрытием, оцинкованный)</t>
  </si>
  <si>
    <t>7. Анкеры:</t>
  </si>
  <si>
    <t>- рад. камеры</t>
  </si>
  <si>
    <t>- конв. части</t>
  </si>
  <si>
    <t>Сталь 08Х13</t>
  </si>
  <si>
    <t>8.  Футеровка:</t>
  </si>
  <si>
    <t>– жаростойкий бетон (АЛАКС-0,9-1000)</t>
  </si>
  <si>
    <t>9. Обвязка горелок</t>
  </si>
  <si>
    <t>10. Пожаротушение</t>
  </si>
  <si>
    <t>11. Гляделки, взрывные окна, люки</t>
  </si>
  <si>
    <t>12. Дымовая труба</t>
  </si>
  <si>
    <t>Жаростойкий бетон</t>
  </si>
  <si>
    <t>13. Штуцера КИП</t>
  </si>
  <si>
    <t>Масса печи:</t>
  </si>
  <si>
    <t xml:space="preserve">H тр = </t>
  </si>
  <si>
    <t>Температура топливного газа перед горелкой (фактическая)</t>
  </si>
  <si>
    <t>Плотность топливного газа для н.у.</t>
  </si>
  <si>
    <t>кг/м3</t>
  </si>
  <si>
    <t>Плотность природного газа для н.у.</t>
  </si>
  <si>
    <t>Низшая теплота сгорания топливного газа</t>
  </si>
  <si>
    <t>кДж/м3</t>
  </si>
  <si>
    <t>Низшая теплота сгорания природного газа</t>
  </si>
  <si>
    <t>Тепловая мощность горелки</t>
  </si>
  <si>
    <t>МВт</t>
  </si>
  <si>
    <t>Расход природного газа</t>
  </si>
  <si>
    <t>м3/ч</t>
  </si>
  <si>
    <t>Давление природного газа на входе в горелку (из расходной характеристики)</t>
  </si>
  <si>
    <t>Требуемый расход топливного газа</t>
  </si>
  <si>
    <t>Требуемое давление топливного газа</t>
  </si>
  <si>
    <t>Минимально допустимый расход природного газа</t>
  </si>
  <si>
    <t>Минимально допустимый расход топливного газа</t>
  </si>
  <si>
    <t>кПа</t>
  </si>
  <si>
    <t>Минимально допустимое давление природного газа</t>
  </si>
  <si>
    <t>Минимально допустимое давление топливного газа</t>
  </si>
  <si>
    <t>Число Воббе природного газа</t>
  </si>
  <si>
    <t>Число Воббе топливного газа 1</t>
  </si>
  <si>
    <t>Число Воббе топливного газа 2</t>
  </si>
  <si>
    <t>Плотность газа, кг/м3</t>
  </si>
  <si>
    <t>Плотность мазута, кг/м3</t>
  </si>
  <si>
    <t>Lower Calorific Value, kJ/m3</t>
  </si>
  <si>
    <t>Выбранная горелка</t>
  </si>
  <si>
    <t>Коэффициент избытка воздуха, при нормальной работе горелки</t>
  </si>
  <si>
    <t>Критическая величина избытка воздуха</t>
  </si>
  <si>
    <t>Расчет диаметра горячего газохода</t>
  </si>
  <si>
    <t>Обозначение, формула и расчет</t>
  </si>
  <si>
    <t>Результат</t>
  </si>
  <si>
    <t>Вариант расчета</t>
  </si>
  <si>
    <t>Нагрузка</t>
  </si>
  <si>
    <t>Температура окружающего воздуха</t>
  </si>
  <si>
    <r>
      <t>°</t>
    </r>
    <r>
      <rPr>
        <sz val="14"/>
        <color theme="1"/>
        <rFont val="Times New Roman"/>
        <family val="1"/>
        <charset val="204"/>
      </rPr>
      <t>С</t>
    </r>
  </si>
  <si>
    <t>Массовый расход продуктов сгорания</t>
  </si>
  <si>
    <t xml:space="preserve">G = </t>
  </si>
  <si>
    <t>Температура продуктов сгорания</t>
  </si>
  <si>
    <t xml:space="preserve">Tetta = </t>
  </si>
  <si>
    <t>Плотность продуктов сгорания</t>
  </si>
  <si>
    <t xml:space="preserve">ro = </t>
  </si>
  <si>
    <r>
      <t>кг/м</t>
    </r>
    <r>
      <rPr>
        <vertAlign val="superscript"/>
        <sz val="14"/>
        <color theme="1"/>
        <rFont val="Times New Roman"/>
        <family val="1"/>
        <charset val="204"/>
      </rPr>
      <t>3</t>
    </r>
  </si>
  <si>
    <t>Выдерживаемая скорость продуктов сгорания</t>
  </si>
  <si>
    <t xml:space="preserve">w = </t>
  </si>
  <si>
    <t>м/с</t>
  </si>
  <si>
    <t>Внутренний диаметр газохода</t>
  </si>
  <si>
    <r>
      <t>d</t>
    </r>
    <r>
      <rPr>
        <vertAlign val="subscript"/>
        <sz val="14"/>
        <color theme="1"/>
        <rFont val="Times New Roman"/>
        <family val="1"/>
        <charset val="204"/>
      </rPr>
      <t>вн</t>
    </r>
    <r>
      <rPr>
        <sz val="14"/>
        <color theme="1"/>
        <rFont val="Times New Roman"/>
        <family val="1"/>
        <charset val="204"/>
      </rPr>
      <t xml:space="preserve"> = </t>
    </r>
  </si>
  <si>
    <t>Наружный диаметр газохода</t>
  </si>
  <si>
    <r>
      <t>d</t>
    </r>
    <r>
      <rPr>
        <vertAlign val="subscript"/>
        <sz val="14"/>
        <color theme="1"/>
        <rFont val="Times New Roman"/>
        <family val="1"/>
        <charset val="204"/>
      </rPr>
      <t>нар</t>
    </r>
    <r>
      <rPr>
        <sz val="14"/>
        <color theme="1"/>
        <rFont val="Times New Roman"/>
        <family val="1"/>
        <charset val="204"/>
      </rPr>
      <t xml:space="preserve"> = </t>
    </r>
  </si>
  <si>
    <t>Расчет аэродинамического сопротивления горячего газохода</t>
  </si>
  <si>
    <t>Площадь проходного сечения</t>
  </si>
  <si>
    <t xml:space="preserve">f = </t>
  </si>
  <si>
    <r>
      <t>м</t>
    </r>
    <r>
      <rPr>
        <vertAlign val="superscript"/>
        <sz val="14"/>
        <color theme="1"/>
        <rFont val="Times New Roman"/>
        <family val="1"/>
        <charset val="204"/>
      </rPr>
      <t>2</t>
    </r>
  </si>
  <si>
    <t>Скорость продуктов сгорания</t>
  </si>
  <si>
    <t>Шероховатость</t>
  </si>
  <si>
    <t xml:space="preserve">k = </t>
  </si>
  <si>
    <t>Коэффициент гидравлического трения</t>
  </si>
  <si>
    <t xml:space="preserve">Lambda = </t>
  </si>
  <si>
    <t>Сумма коэффициентов местных сопротивлений</t>
  </si>
  <si>
    <t xml:space="preserve">Dzetta = </t>
  </si>
  <si>
    <t>Длина газохода</t>
  </si>
  <si>
    <t xml:space="preserve">L = </t>
  </si>
  <si>
    <t>Высота газохода</t>
  </si>
  <si>
    <t xml:space="preserve">H = </t>
  </si>
  <si>
    <t>Потери давления на трение</t>
  </si>
  <si>
    <r>
      <t>dp</t>
    </r>
    <r>
      <rPr>
        <vertAlign val="subscript"/>
        <sz val="14"/>
        <color theme="1"/>
        <rFont val="Times New Roman"/>
        <family val="1"/>
        <charset val="204"/>
      </rPr>
      <t>тр</t>
    </r>
    <r>
      <rPr>
        <sz val="14"/>
        <color theme="1"/>
        <rFont val="Times New Roman"/>
        <family val="1"/>
        <charset val="204"/>
      </rPr>
      <t xml:space="preserve"> = </t>
    </r>
  </si>
  <si>
    <t>Па</t>
  </si>
  <si>
    <t>Потери давления на местных сопротивлениях</t>
  </si>
  <si>
    <r>
      <t>dp</t>
    </r>
    <r>
      <rPr>
        <vertAlign val="subscript"/>
        <sz val="14"/>
        <color theme="1"/>
        <rFont val="Times New Roman"/>
        <family val="1"/>
        <charset val="204"/>
      </rPr>
      <t>м</t>
    </r>
    <r>
      <rPr>
        <sz val="14"/>
        <color theme="1"/>
        <rFont val="Times New Roman"/>
        <family val="1"/>
        <charset val="204"/>
      </rPr>
      <t xml:space="preserve"> = </t>
    </r>
  </si>
  <si>
    <t>Плотность окружающего воздуха</t>
  </si>
  <si>
    <t>Самотяга</t>
  </si>
  <si>
    <r>
      <t>dp</t>
    </r>
    <r>
      <rPr>
        <vertAlign val="subscript"/>
        <sz val="14"/>
        <color theme="1"/>
        <rFont val="Times New Roman"/>
        <family val="1"/>
        <charset val="204"/>
      </rPr>
      <t>с</t>
    </r>
    <r>
      <rPr>
        <sz val="14"/>
        <color theme="1"/>
        <rFont val="Times New Roman"/>
        <family val="1"/>
        <charset val="204"/>
      </rPr>
      <t xml:space="preserve"> = </t>
    </r>
  </si>
  <si>
    <t>Сумма сопротивлений</t>
  </si>
  <si>
    <t xml:space="preserve">dp = </t>
  </si>
  <si>
    <t>– Пароперегреватель</t>
  </si>
  <si>
    <t>Сталь 20</t>
  </si>
  <si>
    <t>– Пароперегревателя</t>
  </si>
  <si>
    <t>t ст доп</t>
  </si>
  <si>
    <t>q ср доп</t>
  </si>
  <si>
    <t>Тип топлива (1-газовое, 2 - жидкое)</t>
  </si>
  <si>
    <t xml:space="preserve">Teta FH 2 </t>
  </si>
  <si>
    <t>Коэф прямой отдачи топки</t>
  </si>
  <si>
    <t>Температура уходящих</t>
  </si>
  <si>
    <t>температура продукта на входе</t>
  </si>
  <si>
    <t>Тип последнего ряда конвективных труб (1-гладкие, 2 - оребренные, 3 - особое)</t>
  </si>
  <si>
    <t>Температурная прибавка</t>
  </si>
  <si>
    <t>КПД топливный печи из графика</t>
  </si>
  <si>
    <t>08Х13</t>
  </si>
  <si>
    <t>Диаметр трубы</t>
  </si>
  <si>
    <t>Толщина трубы</t>
  </si>
  <si>
    <t>Плотность</t>
  </si>
  <si>
    <t>Шаг отводов</t>
  </si>
  <si>
    <t>Расчет количеств воздуха и продуктов сгорания, образующихся при сжигании 1 кг жидкого топлива</t>
  </si>
  <si>
    <t>Теоретическое количество воздуха, м3/кг</t>
  </si>
  <si>
    <t>Теоретическое количество воздуха, кг/кг</t>
  </si>
  <si>
    <t>Количество трехатомных газов, м3/кг</t>
  </si>
  <si>
    <t>Количество трехатомных газов, кг/кг</t>
  </si>
  <si>
    <t>Теоретическое количество азота, м3/кг</t>
  </si>
  <si>
    <t>Теоретическое количество азота, кг/кг</t>
  </si>
  <si>
    <t>Влажность</t>
  </si>
  <si>
    <t>Теоретическое количество водяных паров, м3/кг</t>
  </si>
  <si>
    <t>Теоретическое количество водяных паров, кг/кг</t>
  </si>
  <si>
    <t>Среднее значение избытка воздуха в газоходе</t>
  </si>
  <si>
    <t>Допустимая величина присосов воздуха в топочной камере</t>
  </si>
  <si>
    <t>Присос воздуха в конвективной поверхности</t>
  </si>
  <si>
    <t>Коэффициент избытка воздуха на входе в горелки</t>
  </si>
  <si>
    <t>Значения</t>
  </si>
  <si>
    <t>Коэффициент избытка воздуха на выходе из топки</t>
  </si>
  <si>
    <t>Коэффициент избытка воздуха на выходе из конвекции (и для определения КПД печи)</t>
  </si>
  <si>
    <t>Коэффициент избытка воздуха для определения КПД, согласно ГОСТ Р</t>
  </si>
  <si>
    <t>Тип топлива, принимаемого в расчет (1 - газ; 2 - мазут; 3 - смесь топлив)</t>
  </si>
  <si>
    <t>Топка</t>
  </si>
  <si>
    <t>Конвекция</t>
  </si>
  <si>
    <t>Тип тяги (1 - естественная 2 - принудительная)</t>
  </si>
  <si>
    <t>Общее количество водяных паров, м3/кг</t>
  </si>
  <si>
    <t>Температура пара, подаваемого на распыл (Atomising steam temperature, С)</t>
  </si>
  <si>
    <t>Расход пара, подаваемого на горелку, кг/ч</t>
  </si>
  <si>
    <t>Энтальпия пара на распыл, кДж/кг</t>
  </si>
  <si>
    <t>Рабочая масса</t>
  </si>
  <si>
    <t>Горючая</t>
  </si>
  <si>
    <t>Сухая масса</t>
  </si>
  <si>
    <t>Общее количество водяных паров, кг/кг</t>
  </si>
  <si>
    <t>Количество дымовых газов, м3/кг</t>
  </si>
  <si>
    <t>Количество дымовых газов, кг/кг</t>
  </si>
  <si>
    <t>Масса дымовых газов, кг/кг</t>
  </si>
  <si>
    <t>Отношение расхода пара к расходу мазута (Atomising steam/Fuel Ratio)</t>
  </si>
  <si>
    <t>Объемная доля трехатомных газов в продуктах сгорания</t>
  </si>
  <si>
    <t>Массовая доля трехатомных газов в продуктах сгорания</t>
  </si>
  <si>
    <t>Объемная доля водяных паров в продуктах сгорания</t>
  </si>
  <si>
    <t>Массовая доля водяных паров в продуктах сгорания</t>
  </si>
  <si>
    <t>Полная объемная доля</t>
  </si>
  <si>
    <t>Полная массовая доля</t>
  </si>
  <si>
    <t>Доля золы топлива, уносимой газами</t>
  </si>
  <si>
    <t>Концентрация золы в продуктах сгорания</t>
  </si>
  <si>
    <t>ГКВД-2,0</t>
  </si>
  <si>
    <t>– керамоволокно</t>
  </si>
  <si>
    <t>Скорость смеси</t>
  </si>
  <si>
    <t>Плотность жидкой фазы</t>
  </si>
  <si>
    <t>Плотность паровой фазы</t>
  </si>
  <si>
    <t>Массовый расход продукта</t>
  </si>
  <si>
    <t>Массовый расход жидкой фазы</t>
  </si>
  <si>
    <t>Массовый расход паровой фазы</t>
  </si>
  <si>
    <t>Приведенная скорость паровой фазы</t>
  </si>
  <si>
    <t>Приведенная скорость жидкой фазы</t>
  </si>
  <si>
    <t>Объемное расходное паросодержание</t>
  </si>
  <si>
    <t>Истинное объемное паросодержание</t>
  </si>
  <si>
    <t>Толщина стенки трубы</t>
  </si>
  <si>
    <t>м2</t>
  </si>
  <si>
    <t>Коэффициент пропорциональности</t>
  </si>
  <si>
    <t>конв</t>
  </si>
  <si>
    <t>рад</t>
  </si>
  <si>
    <t>пар</t>
  </si>
  <si>
    <t>Скорость циркуляции (только для инд.в-в)</t>
  </si>
  <si>
    <t>Скорость смеси (только для инд.в-в)</t>
  </si>
  <si>
    <t>Плотность смеси через Бетту</t>
  </si>
  <si>
    <t>Плотность смеси через х</t>
  </si>
  <si>
    <t>Плотность смеси через фи</t>
  </si>
  <si>
    <t>Массовое расходное паросодержание</t>
  </si>
  <si>
    <t>Высота ребра</t>
  </si>
  <si>
    <t>Средний диаметр спирали</t>
  </si>
  <si>
    <t>Длина винтовой линии</t>
  </si>
  <si>
    <t>Шаг оребреения</t>
  </si>
  <si>
    <t>Число ребер на метр</t>
  </si>
  <si>
    <t>Число оребренных труб</t>
  </si>
  <si>
    <t>Длина оребренной части трубы</t>
  </si>
  <si>
    <t>Число оребренных рядов труб</t>
  </si>
  <si>
    <t>Число труб в ряду</t>
  </si>
  <si>
    <t>Толщина оребрения</t>
  </si>
  <si>
    <t>Масса оребрения</t>
  </si>
  <si>
    <t>1. Змеевик радиантный</t>
  </si>
  <si>
    <t>Масса змеевика</t>
  </si>
  <si>
    <t>Длина прямого участка трубы</t>
  </si>
  <si>
    <t>шт</t>
  </si>
  <si>
    <t>Число костылей в топке</t>
  </si>
  <si>
    <t>2. Конвективный змеевик</t>
  </si>
  <si>
    <t>Число костылей в конвекции</t>
  </si>
  <si>
    <t>Диаметр несущей трубы</t>
  </si>
  <si>
    <t>4. Каркас камеры радиации</t>
  </si>
  <si>
    <t>3. Оребрение конвективных труб</t>
  </si>
  <si>
    <t>Диаметр топки в свету</t>
  </si>
  <si>
    <t>Высота топки в свету</t>
  </si>
  <si>
    <t>цилиндрическая топка</t>
  </si>
  <si>
    <t>Толщина металла пода</t>
  </si>
  <si>
    <t>Толщина металла боковой стены</t>
  </si>
  <si>
    <t>Толщина металла свода</t>
  </si>
  <si>
    <t>Плотность металла стенок</t>
  </si>
  <si>
    <t>Плотность футеровки пода</t>
  </si>
  <si>
    <t>Плотность футеровки бока</t>
  </si>
  <si>
    <t>Плотность футеровки свода</t>
  </si>
  <si>
    <t>Толщина футеровки пода</t>
  </si>
  <si>
    <t>Толщина футеровки экранированной боковой стены</t>
  </si>
  <si>
    <t>Толщина футеровки неэкранированной боковой стены</t>
  </si>
  <si>
    <t>Толщина футеровки свода</t>
  </si>
  <si>
    <t>Масса металла пода</t>
  </si>
  <si>
    <t>Масса металла бока</t>
  </si>
  <si>
    <t>Масса металла свода</t>
  </si>
  <si>
    <t>Масса футеровки пода</t>
  </si>
  <si>
    <t>Масса футеровки боковых стен</t>
  </si>
  <si>
    <t>Масса футеровки свода</t>
  </si>
  <si>
    <t>Масса минимальная металла каркаса радиации</t>
  </si>
  <si>
    <t>Приблизительная масса каркаса радиации</t>
  </si>
  <si>
    <t>Длина топочного окна</t>
  </si>
  <si>
    <t>Ширина топочного окна</t>
  </si>
  <si>
    <t>Опытный коэффициент к поду</t>
  </si>
  <si>
    <t>Опытный коэффициент к боку/панели</t>
  </si>
  <si>
    <t>Опытный коэффициент к своду</t>
  </si>
  <si>
    <t>5. Каркас камеры конвекции</t>
  </si>
  <si>
    <t>Длина полная трубы</t>
  </si>
  <si>
    <t>Число рядов вместе с запасными</t>
  </si>
  <si>
    <t>Высота</t>
  </si>
  <si>
    <t>Число камер конвекции</t>
  </si>
  <si>
    <t>Высота промежутка</t>
  </si>
  <si>
    <t>Ширина конвекции в свету</t>
  </si>
  <si>
    <t>Глубина в свету</t>
  </si>
  <si>
    <t>Шаг труб продольный</t>
  </si>
  <si>
    <t>Толщина металла конвективной решетки</t>
  </si>
  <si>
    <t>Масса конвективных решеток</t>
  </si>
  <si>
    <t>Число конвективных решеток</t>
  </si>
  <si>
    <t>Толщина футеровки короба</t>
  </si>
  <si>
    <t>Толщина футеровки трубной решетки</t>
  </si>
  <si>
    <t>Плотность футеровки</t>
  </si>
  <si>
    <t>Толщина футеровки панели средняя</t>
  </si>
  <si>
    <t>Масса футеровки короба</t>
  </si>
  <si>
    <t>Масса футеровки панелей</t>
  </si>
  <si>
    <t>Масса футеровки трубной решетки</t>
  </si>
  <si>
    <t>Масса футеровки конвекции</t>
  </si>
  <si>
    <t>Плотность футеровки короба</t>
  </si>
  <si>
    <t>МКРВ-100</t>
  </si>
  <si>
    <t>Опытный коэффициент короба</t>
  </si>
  <si>
    <t>Масса металла коробов приблизительная</t>
  </si>
  <si>
    <t>Масса металла каркаса конвекции без решеток</t>
  </si>
  <si>
    <t>Масса металла панелей</t>
  </si>
  <si>
    <t>Ширина в свету</t>
  </si>
  <si>
    <t>6. Переходник, шибер, дымовая труба</t>
  </si>
  <si>
    <t>Высота перехода</t>
  </si>
  <si>
    <t>Высота шибера</t>
  </si>
  <si>
    <t>Высота дымовой трубы</t>
  </si>
  <si>
    <t>Толщина футеровки прехода</t>
  </si>
  <si>
    <t>Толщина футеровки шибера</t>
  </si>
  <si>
    <t>Толщина футеровки дымовой трубы</t>
  </si>
  <si>
    <t>Толщина металла перехода</t>
  </si>
  <si>
    <t>Толщина металла шибера</t>
  </si>
  <si>
    <t>Толщина металла дымовой трубы</t>
  </si>
  <si>
    <t>Опытный коэффициент перехода</t>
  </si>
  <si>
    <t>Опытный коэффициент шибера</t>
  </si>
  <si>
    <t>Опытный коэффициент дымовой трубы</t>
  </si>
  <si>
    <t>Масса металла перехода</t>
  </si>
  <si>
    <t>Масса металла шибера</t>
  </si>
  <si>
    <t>Масса металла дымовой трубы</t>
  </si>
  <si>
    <t>Масса футеровки перехода</t>
  </si>
  <si>
    <t>Масса футеровки шибера</t>
  </si>
  <si>
    <t>Масса футеровки дымовой трубы</t>
  </si>
  <si>
    <t>Диаметр дымовой трубы наружний</t>
  </si>
  <si>
    <t>Данные в отчет</t>
  </si>
  <si>
    <t>Масса футеровки бетоном для отчета</t>
  </si>
  <si>
    <t>массовая доля газа в топливной смеси</t>
  </si>
  <si>
    <t>Расчет количеств воздуха и продуктов сгорания, образующихся при сжигании 1 м3 и 1 кг газообразного топлива</t>
  </si>
  <si>
    <t>Плотность сухого газа при нормальных условиях, кг/м3</t>
  </si>
  <si>
    <t>Теоретическое количество воздуха, м3/м3</t>
  </si>
  <si>
    <t>Количество трехатомных газов, м3/м3</t>
  </si>
  <si>
    <t>Теоретическое количество азота, м3/м3</t>
  </si>
  <si>
    <t>Теоретическое количество водяных паров, м3/м3</t>
  </si>
  <si>
    <t>Общее количество водяных паров, м3/м3</t>
  </si>
  <si>
    <t>Количество дымовых газов, м3/м3</t>
  </si>
  <si>
    <t>ккал/м3</t>
  </si>
  <si>
    <t>ккал/кг</t>
  </si>
  <si>
    <t>Влажность газа, мг/м3</t>
  </si>
  <si>
    <t>Масса дымовых газов, кг/м3 (бредовая ф-ла)</t>
  </si>
  <si>
    <t>Расчет энтальпии продуктов сгорания</t>
  </si>
  <si>
    <t>Энтальпия продуктов сгорания, кДж/м3</t>
  </si>
  <si>
    <t>Энтальпия воздуха, кДж/м3 (кДж/кг топл)</t>
  </si>
  <si>
    <t>Энтальпия воздуха, кДж/кг</t>
  </si>
  <si>
    <t>Энтальпия продуктов сгорания, кДж/м3 (кДж/кг топл)</t>
  </si>
  <si>
    <t>Энтальпия продуктов сгорания, кДж/кг</t>
  </si>
  <si>
    <t>Температура продуктов сгорания, С</t>
  </si>
  <si>
    <t>Избыток воздуха</t>
  </si>
  <si>
    <t xml:space="preserve">газ </t>
  </si>
  <si>
    <t>мазут</t>
  </si>
  <si>
    <t>Энтальпия продуктов сгорания, кДж/кг газ топл</t>
  </si>
  <si>
    <t>Энтальпия воздуха, кДж/кг газ топл</t>
  </si>
  <si>
    <t>Teta</t>
  </si>
  <si>
    <t xml:space="preserve">воздух </t>
  </si>
  <si>
    <t>Определение температуры продуктов сгорания</t>
  </si>
  <si>
    <t>Таблица для газа, кДж/м3</t>
  </si>
  <si>
    <t>Таблица для мазута, кДж/кг</t>
  </si>
  <si>
    <t>Температура подогрева топлива</t>
  </si>
  <si>
    <t>Теплоемкость топлива</t>
  </si>
  <si>
    <t>кДж/м3*С</t>
  </si>
  <si>
    <t>Теплоемкость топлива, кДж/м3*С</t>
  </si>
  <si>
    <t>Температура топлива, подаваемого в горелку, С</t>
  </si>
  <si>
    <t>* - требует уточнения!!!</t>
  </si>
  <si>
    <t>Тепло топлива, поступающего в печь *</t>
  </si>
  <si>
    <t>Избыток воздуха, на входе в горелку</t>
  </si>
  <si>
    <t>Присос воздуха в топке</t>
  </si>
  <si>
    <t>Энтальпия холодного воздуха</t>
  </si>
  <si>
    <t>Энтальпия воздуха на входе в печь</t>
  </si>
  <si>
    <t>Количество тепла, полученное воздухом от внешних источников</t>
  </si>
  <si>
    <t>%</t>
  </si>
  <si>
    <t>Температура воздуха на входе в горелки</t>
  </si>
  <si>
    <t>Температура продукта на входе в печь</t>
  </si>
  <si>
    <t>Энтальпия продуктов сгорания на выходе из печи</t>
  </si>
  <si>
    <t>Избыток воздуха в уходящих продуктах сгорания</t>
  </si>
  <si>
    <t>Тепловая мощность печи</t>
  </si>
  <si>
    <t>м3/с</t>
  </si>
  <si>
    <t>Температура продуктов сгорания на выходе из топки по номограмме 1</t>
  </si>
  <si>
    <t>Предельная допустимая температура стенки радиантных труб</t>
  </si>
  <si>
    <t>Температура продуктов сгорания на выходе из топки (задаемся)</t>
  </si>
  <si>
    <t>Коэффициент прямой отдачи топки</t>
  </si>
  <si>
    <t>Коэффициент прямой отдачи топки по номограмме 1</t>
  </si>
  <si>
    <t>Геометрия экранов</t>
  </si>
  <si>
    <t>Наружний диаметр труб</t>
  </si>
  <si>
    <t>Шаг между трубами</t>
  </si>
  <si>
    <t>Число труб</t>
  </si>
  <si>
    <t>Ширина окна</t>
  </si>
  <si>
    <t>Глубина окна</t>
  </si>
  <si>
    <t>м3</t>
  </si>
  <si>
    <t>Диаметр осей змеевика</t>
  </si>
  <si>
    <t>Расстояние от обмуровки до оси экраных труб</t>
  </si>
  <si>
    <t>Полная лучевоспринимающая поверхность, Hл</t>
  </si>
  <si>
    <t>Площадь окна, F окн</t>
  </si>
  <si>
    <t>Общая площадь стен топочной камеры, F ст</t>
  </si>
  <si>
    <t>Площадь настильной стены, F R</t>
  </si>
  <si>
    <t>Площадь обмуровки, F обм</t>
  </si>
  <si>
    <t>Объем топочной камеры, V т</t>
  </si>
  <si>
    <t>Относительное расстояние от образующей трубы до обмуровки, e</t>
  </si>
  <si>
    <t>Угловой коэффициент трубных экранов, х экр</t>
  </si>
  <si>
    <t>Угловой коэффициент обмуровки, х обм</t>
  </si>
  <si>
    <t>Угловой коэффициент окна, х окн</t>
  </si>
  <si>
    <t>Эффективная толщина излучающего слоя</t>
  </si>
  <si>
    <t>Лучевоспринимающая поверхность настенного экрана, F экр</t>
  </si>
  <si>
    <t>Лучевоспринимающая поверхность двусветного экрана</t>
  </si>
  <si>
    <t>Угловой коэффициент двусветных экранов</t>
  </si>
  <si>
    <t>Тип экрана (1 - однорядный настенный; )</t>
  </si>
  <si>
    <t>Относительный шаг труб</t>
  </si>
  <si>
    <t>Относительное расстояние от обмуровки до эранных труб</t>
  </si>
  <si>
    <t>Давление продуктов сгорания в радиантной камере</t>
  </si>
  <si>
    <t>кГс/см2</t>
  </si>
  <si>
    <t>Коэффициент ослабления лучей для топочной среды</t>
  </si>
  <si>
    <t>Суммарное парциальное давление газов</t>
  </si>
  <si>
    <t>1/(м*кГс/см2)</t>
  </si>
  <si>
    <t>Соотношение содержания углерода и водорода в топливе</t>
  </si>
  <si>
    <t>Соотношение содержания углерода и водорода в топливном газе</t>
  </si>
  <si>
    <t>Соотношение содержания углерода и водорода в рабочей массе топлива</t>
  </si>
  <si>
    <t>Коэффициент ослабления лучей сажистыми частицами</t>
  </si>
  <si>
    <t>Присос воздуха в конвективной части</t>
  </si>
  <si>
    <t>Степень черноты светящихся газов</t>
  </si>
  <si>
    <t>Коэффициент ослабления лучей для светящегося пламени</t>
  </si>
  <si>
    <t>Степень черноты несветящихся газов</t>
  </si>
  <si>
    <t>Коэффициент усреднения: (0,1 - сжигание газа; 0,55 - сжигание мазута)</t>
  </si>
  <si>
    <t>Эффективная степень черноты факела, аф</t>
  </si>
  <si>
    <t>Число Больцмана</t>
  </si>
  <si>
    <t>Площадь обогреваемых труб, Hр</t>
  </si>
  <si>
    <t>Степень экранирования, Кси л</t>
  </si>
  <si>
    <t>Эффективная отражательная способность гладкотрубных экранов</t>
  </si>
  <si>
    <t>Эффективная поглощательная способность гладкотрубных экранов (0,88-0,9 - при сжигании газа; 0,78-0,8 - при сжигании мазута )</t>
  </si>
  <si>
    <t>Величина Дельта Кси</t>
  </si>
  <si>
    <t>Поправочный коэффициент (табл. 6-1, стр. 84)</t>
  </si>
  <si>
    <t>Приведенная степень черноты топочной камеры, a т</t>
  </si>
  <si>
    <t>Эквивалентная абсолютно черная поверхность радиационного обмена, H s</t>
  </si>
  <si>
    <t>Приведенная степень черноты топочной камеры по методу ВТИ-ЭНИН, а тн</t>
  </si>
  <si>
    <t>Среднее теплонапряжение радиантного объема</t>
  </si>
  <si>
    <t>Средняя температура продукта в радиантном змеевике</t>
  </si>
  <si>
    <t>Суммарное термическое сопротивление, R сигма</t>
  </si>
  <si>
    <t>м2*С/Вт</t>
  </si>
  <si>
    <t>Температура наружной поверхности экрана, Teta н</t>
  </si>
  <si>
    <t>К</t>
  </si>
  <si>
    <t>Длина топки по ходу движения дымовых газов, l т</t>
  </si>
  <si>
    <t>Длина факела, lф (принимается по данным  горелочных устройств)</t>
  </si>
  <si>
    <t>Определение температуры наружной поверхности экрана</t>
  </si>
  <si>
    <t>Температурная функция TetaЭф4</t>
  </si>
  <si>
    <t>Поправочный коэффициент к температурной функции</t>
  </si>
  <si>
    <t>Коэффициент теплоотдачи конвекцией от топочных газов к поверхности экранных труб, Alfa к_г</t>
  </si>
  <si>
    <t>Вт/м2*К</t>
  </si>
  <si>
    <t>Коэффициент Белоконя Н.И., зависяций от диаметра труб, Aб</t>
  </si>
  <si>
    <t>ккал/(м2*ч*С)</t>
  </si>
  <si>
    <t>Вт/(м2*С)</t>
  </si>
  <si>
    <t>Метод ВТИ-ЭНИН</t>
  </si>
  <si>
    <t>Приведенная характеристика теплообмена в топке, K т</t>
  </si>
  <si>
    <t>Относительная температура лучевоспринимающей поверхности, TetaNOtn</t>
  </si>
  <si>
    <t>Отношение K/Bo</t>
  </si>
  <si>
    <t>Относительная температура газов на выходе из топки, TetaT2Otn</t>
  </si>
  <si>
    <t>Температура газов на выходе из топки, ТetaT2</t>
  </si>
  <si>
    <t>K</t>
  </si>
  <si>
    <t>Расхождение температур продуктов сгорания на выходе из топки</t>
  </si>
  <si>
    <t>Метод 2</t>
  </si>
  <si>
    <t>Метод Белоконя Н.И.</t>
  </si>
  <si>
    <t>Отношение площадей Hр/Hs</t>
  </si>
  <si>
    <t>Конвективная составляющая теплообмена, qрк</t>
  </si>
  <si>
    <t>Температура газов на выходе из топки, TetaT2</t>
  </si>
  <si>
    <t>Температурная поправка к теплопередаче в топке по Белоконю Н.И.</t>
  </si>
  <si>
    <t>Аргумент излучения Белоконя Н.И.</t>
  </si>
  <si>
    <t>Характеристика излучения Белоконя Н.И.</t>
  </si>
  <si>
    <t>В случае проектирования отдельно топки и конвективной части входные данные для расчета конвективной части представлены ниже</t>
  </si>
  <si>
    <t>Температура продуктов сгорания за топкой</t>
  </si>
  <si>
    <t>Плотность продуктов сгорания нормативная</t>
  </si>
  <si>
    <t>Анализ конструкции топки по каталогу трубчатых печей</t>
  </si>
  <si>
    <t>Степень равномерности нагрева труб по их окружности, phi1</t>
  </si>
  <si>
    <t>Коэффициент металоемкости радиантной части печи</t>
  </si>
  <si>
    <t>Степень эффективности компоновки трубного экрана</t>
  </si>
  <si>
    <t>Площадь проекции радиантных труб</t>
  </si>
  <si>
    <t>Площадь экранированной стены</t>
  </si>
  <si>
    <t>Степень равномерности нагрева труб по их длине, phi2</t>
  </si>
  <si>
    <t>Степень эффективности распределения тепла по трубному экрану, phi3</t>
  </si>
  <si>
    <t>Степень использования поверхности нагрева</t>
  </si>
  <si>
    <t>Расчет теплонапряжений трубы</t>
  </si>
  <si>
    <t>Допустимая температура стенки экрана</t>
  </si>
  <si>
    <t>Температура продукта на входе в радиацию</t>
  </si>
  <si>
    <t>Температура продукта на выходе из радиации</t>
  </si>
  <si>
    <t>Коэффициент теплоотдачи от стенки трубы к продукту (приблизительный)</t>
  </si>
  <si>
    <t>Вт/(м2*К)</t>
  </si>
  <si>
    <t>Вт/м2</t>
  </si>
  <si>
    <t>Отношение phi3/phi3'</t>
  </si>
  <si>
    <t>Среднефактическое допускаемое теплонапряжение печи прототипа из каталога</t>
  </si>
  <si>
    <t>Среднефактическое допускаемое теплонапряжение проектируемой печи</t>
  </si>
  <si>
    <t>Теоретическое допускаемое теплонапряжение входной трубы</t>
  </si>
  <si>
    <t>Теоретическое допускаемое теплонапряжение выходной трубы</t>
  </si>
  <si>
    <t>Диаметр труб печи</t>
  </si>
  <si>
    <t>Шаг труб в печи</t>
  </si>
  <si>
    <t>Диаметр радиантного змеевика</t>
  </si>
  <si>
    <t>Среднее допускаемое теплонапряжение трубного экрана, РТМ</t>
  </si>
  <si>
    <t>Возможная поверхность радиантного змеевика</t>
  </si>
  <si>
    <t>Расчет конвективной части печи</t>
  </si>
  <si>
    <t>Число ходов</t>
  </si>
  <si>
    <t>Поперечный шаг труб</t>
  </si>
  <si>
    <t>Минимальное технологическое расстояние между отверстиями в трубной решетке</t>
  </si>
  <si>
    <t>Продольный шаг труб</t>
  </si>
  <si>
    <t>Обогреваемая длина труб одного хода ВП</t>
  </si>
  <si>
    <t>Геометрия ВП</t>
  </si>
  <si>
    <t>Присос воздуха в ВП (переток)</t>
  </si>
  <si>
    <t>Избыток воздуха на выходе из ВП</t>
  </si>
  <si>
    <t>Избыток воздуха в уходящих продуктах сгорания из печи</t>
  </si>
  <si>
    <t>Мощность печи</t>
  </si>
  <si>
    <t>Энтальпия воздуха на входе в ВП</t>
  </si>
  <si>
    <t>Энтальпия уходящих продуктов сгорания</t>
  </si>
  <si>
    <t>Температура продуктов сгорания на входе в ВП</t>
  </si>
  <si>
    <t>Температура продуктов сгорания на выходе из ВП</t>
  </si>
  <si>
    <t>Объемный расход продуктов сгорания на входе в ВП</t>
  </si>
  <si>
    <t>нм3/ч</t>
  </si>
  <si>
    <t>нм3/с</t>
  </si>
  <si>
    <t>ВП</t>
  </si>
  <si>
    <t>Объемный расход воздуха, на выходе из ВП</t>
  </si>
  <si>
    <t>Объемный расход воздуха, требуемый для подачи на горелки</t>
  </si>
  <si>
    <t>Объемный расход воздуха, на входе в ВП</t>
  </si>
  <si>
    <t>Объемный расход воздуха, в линии рециркуляции</t>
  </si>
  <si>
    <t>Объемный расход воздуха, в линии байпаса</t>
  </si>
  <si>
    <t>Объемный расход продуктов сгорания на выходе из ВП</t>
  </si>
  <si>
    <t>Температура воздуха на выходе из ВП</t>
  </si>
  <si>
    <t>Температура воздуха на входе в ВП</t>
  </si>
  <si>
    <t>Температура воздуха в линии рециркуляции</t>
  </si>
  <si>
    <t>Температура воздуха в линии байпаса</t>
  </si>
  <si>
    <t>Доля воздуха, направляемого в байпасную линию</t>
  </si>
  <si>
    <t>Присосы по газовому тракту</t>
  </si>
  <si>
    <t>Избытки воздуха по воздушному тракту</t>
  </si>
  <si>
    <t>Избыток воздуха на входе в ВП</t>
  </si>
  <si>
    <t>Доля рециркулирующего воздуха</t>
  </si>
  <si>
    <t>Средний избыток воздуха в ВП</t>
  </si>
  <si>
    <t>Средний объемный расход воздуха в ВП</t>
  </si>
  <si>
    <t>Средний массовый расход воздуха в ВП</t>
  </si>
  <si>
    <t>Средний массовый расход продуктов сгорания в ВП</t>
  </si>
  <si>
    <t>Баланс ВП</t>
  </si>
  <si>
    <t>Разница температур на горячем конце при противоточной схеме включения</t>
  </si>
  <si>
    <t>СПИСОК РАСЧЕТОВ ВП</t>
  </si>
  <si>
    <t>сжигаемое топливо</t>
  </si>
  <si>
    <t>газ</t>
  </si>
  <si>
    <t>тип пучка</t>
  </si>
  <si>
    <t>Конструкция ВП</t>
  </si>
  <si>
    <t>газ - снаружи труб</t>
  </si>
  <si>
    <t>шахматный</t>
  </si>
  <si>
    <t>тип включения</t>
  </si>
  <si>
    <t>противоток</t>
  </si>
  <si>
    <t>Энтальпия газов на входе в ВП</t>
  </si>
  <si>
    <t>Энтальпия газов на выходе из ВП</t>
  </si>
  <si>
    <t>Балансовое тепловосприятие ВП по газам</t>
  </si>
  <si>
    <t>кВт</t>
  </si>
  <si>
    <t>Энтальпия воздуха на выходе из ВП</t>
  </si>
  <si>
    <t>Балансовое тепловосприятие ВП по воздуху</t>
  </si>
  <si>
    <t>Температура присосов в ВП</t>
  </si>
  <si>
    <t>Энтальпия присосов</t>
  </si>
  <si>
    <t>Предполагаемая средняя скорость воздуха</t>
  </si>
  <si>
    <t>Предполагаемая средняя скорость продуктов сгорания</t>
  </si>
  <si>
    <t>внутри труб</t>
  </si>
  <si>
    <t>вне труб</t>
  </si>
  <si>
    <t>Расстояние от края трубной доски до образующей трубы</t>
  </si>
  <si>
    <t>Требуемое число параллельно включенных труб</t>
  </si>
  <si>
    <t>Число труб по ширине ВП</t>
  </si>
  <si>
    <t>Число труб по глубине ВП</t>
  </si>
  <si>
    <t>Тепловой расчет ВП</t>
  </si>
  <si>
    <t>Ширина трубной доски ВП</t>
  </si>
  <si>
    <t>Глубина трубной доски ВП</t>
  </si>
  <si>
    <t>Площадь труб 1 хода ВП</t>
  </si>
  <si>
    <t>Суммарная площадь поверхности ВП</t>
  </si>
  <si>
    <t>Требуемое тепловосприятие ВП</t>
  </si>
  <si>
    <t>Требуемая суммарная площадь нагрева ВП</t>
  </si>
  <si>
    <t>Среднелогарифмический температурный напор в ВП</t>
  </si>
  <si>
    <t>Тип тока</t>
  </si>
  <si>
    <t>Противоток</t>
  </si>
  <si>
    <t>Коэффициент теплопередачи</t>
  </si>
  <si>
    <t>кДж/(м2*К)</t>
  </si>
  <si>
    <t>Коэффициент эффективности ВП</t>
  </si>
  <si>
    <t>Тепловосприятие ВП</t>
  </si>
  <si>
    <t>По воздуху</t>
  </si>
  <si>
    <t>Скорость газов</t>
  </si>
  <si>
    <t>Средняя плотность продуктов сгорания</t>
  </si>
  <si>
    <t>Средняя теплопроводность продуктов сгорания</t>
  </si>
  <si>
    <t>Средняя кинематическая вязкость продуктов сгорания</t>
  </si>
  <si>
    <t>м2/с</t>
  </si>
  <si>
    <t>Число Рейнольдса</t>
  </si>
  <si>
    <t>Число Прандтля</t>
  </si>
  <si>
    <t>Число Пекле</t>
  </si>
  <si>
    <t>Коэффициент теплоотдачи от продуктов сгорания стенке трубы</t>
  </si>
  <si>
    <t>кВт/(м2*К)</t>
  </si>
  <si>
    <t>Средняя плотность воздуха</t>
  </si>
  <si>
    <t>Средняя теплопроводность воздуха</t>
  </si>
  <si>
    <t>Средняя кинематическая вязкость воздуха</t>
  </si>
  <si>
    <t>Скорость воздуха</t>
  </si>
  <si>
    <t>Компактность трубного пучка ВП</t>
  </si>
  <si>
    <t>Вт/(К*м)</t>
  </si>
  <si>
    <t>Шероховатость трубы</t>
  </si>
  <si>
    <t>Требуемое число ходов</t>
  </si>
  <si>
    <t>Требуемая обогреваемая длина труб всего ВП</t>
  </si>
  <si>
    <t>Суммарная длина труб ВП (произведение hх*zx)</t>
  </si>
  <si>
    <t>Вариант Авто</t>
  </si>
  <si>
    <t>Вариант Ручной</t>
  </si>
  <si>
    <t>Масса труб</t>
  </si>
  <si>
    <t>Масса трубных досок</t>
  </si>
  <si>
    <t>Масса обшивки</t>
  </si>
  <si>
    <t>Суммарная масса ВП</t>
  </si>
  <si>
    <t>Температура газов на выходе</t>
  </si>
  <si>
    <t>Энтальпия газов на выходе</t>
  </si>
  <si>
    <t>Энтальпия воздуха на выходе</t>
  </si>
  <si>
    <t>Температура воздуха на выходе</t>
  </si>
  <si>
    <t>Аэродинамический расчет ВП</t>
  </si>
  <si>
    <t>Коэффициент аэродинамического сопротивления по внутритрубному пространству (воздуху)</t>
  </si>
  <si>
    <t>Расчет температуры стенки трубы</t>
  </si>
  <si>
    <t>Линейный коэффициент теплопередачи</t>
  </si>
  <si>
    <t>м*С/Вт</t>
  </si>
  <si>
    <t>Локальный температурный напор</t>
  </si>
  <si>
    <t>Линейная плотность теплового потока</t>
  </si>
  <si>
    <t>Вт/м</t>
  </si>
  <si>
    <t>Температура внутренней поверхности трубы</t>
  </si>
  <si>
    <t>Температура наружней поверхности трубы</t>
  </si>
  <si>
    <t>Приблизительная температура уходящих газов спец</t>
  </si>
  <si>
    <t>Температура стенки по нормам 1998 г</t>
  </si>
  <si>
    <t>Коэффициент аэродинамического сопротивления по межтрубному пространству (газам) 1 хода</t>
  </si>
  <si>
    <t>газ - внутри труб</t>
  </si>
  <si>
    <t>прямоток</t>
  </si>
  <si>
    <t>Конструкция печи</t>
  </si>
  <si>
    <t>Цилиндрическая</t>
  </si>
  <si>
    <t>Коробчатая</t>
  </si>
  <si>
    <t>СПИСОК РАСЧЕТОВ ПЕЧЕЙ</t>
  </si>
  <si>
    <t>Однофазный продукт</t>
  </si>
  <si>
    <t>Средняя плотность продукта</t>
  </si>
  <si>
    <t>Средняя теплопроводность продукта</t>
  </si>
  <si>
    <t>Средняя кинематическая вязкость продукта</t>
  </si>
  <si>
    <t>Скорость продукта</t>
  </si>
  <si>
    <t>Термическое сопротивление отложений на внутренней стороне поверхности радиантных труб</t>
  </si>
  <si>
    <t>Теплопроводность стенки трубы</t>
  </si>
  <si>
    <t>Вт/(м*С)</t>
  </si>
  <si>
    <t>Термическое сопротивление отложений на наружней стороне поверхности радиантных труб</t>
  </si>
  <si>
    <t>Средняя теплоемкость продукта</t>
  </si>
  <si>
    <t>кДж/(кг*С)</t>
  </si>
  <si>
    <t>Коэффициент теплоотдачи от продукта к стенке трубы</t>
  </si>
  <si>
    <t>Температура продукта на выходе из печи</t>
  </si>
  <si>
    <t>Максимальная расчетная температура стенки трубы радиантнго змеевика</t>
  </si>
  <si>
    <t>Давление на входе</t>
  </si>
  <si>
    <t>МПа</t>
  </si>
  <si>
    <t>Temperature</t>
  </si>
  <si>
    <t>Liquid density</t>
  </si>
  <si>
    <t>Liquid specific heat</t>
  </si>
  <si>
    <t>kJ/(kg*K)</t>
  </si>
  <si>
    <t>Liquid viscosity</t>
  </si>
  <si>
    <t>mPa*s</t>
  </si>
  <si>
    <t>Liquid thermal cond.</t>
  </si>
  <si>
    <t>W/(m*K)</t>
  </si>
  <si>
    <t>Liquid surface tension</t>
  </si>
  <si>
    <t>N/m</t>
  </si>
  <si>
    <t>Liquid molecular weight</t>
  </si>
  <si>
    <t>Specific enthalpy</t>
  </si>
  <si>
    <t>kJ/kg</t>
  </si>
  <si>
    <t>Vapor mass fraction</t>
  </si>
  <si>
    <t>Vapor density</t>
  </si>
  <si>
    <t>Vapor specific heat</t>
  </si>
  <si>
    <t>Vapor viscosity</t>
  </si>
  <si>
    <t>Vapor thermal cond.</t>
  </si>
  <si>
    <t>Vapor molecular weight</t>
  </si>
  <si>
    <t>Liquid 2 mass fraction</t>
  </si>
  <si>
    <t>Liquid 2 specific heat</t>
  </si>
  <si>
    <t>Liquid 2 viscosity</t>
  </si>
  <si>
    <t>Liquid 2 thermal cond.</t>
  </si>
  <si>
    <t>Liquid 2 surface tension</t>
  </si>
  <si>
    <t>Liquid 2 molecular weight</t>
  </si>
  <si>
    <t>Среднее давление</t>
  </si>
  <si>
    <t>Давление на выходе</t>
  </si>
  <si>
    <t>Температурное приращение</t>
  </si>
  <si>
    <t xml:space="preserve">Qбв = </t>
  </si>
  <si>
    <t xml:space="preserve">Qбг = </t>
  </si>
  <si>
    <t>Коэффициент теплоотдачи от стенки трубы к воздуху</t>
  </si>
  <si>
    <t>Номер расчетной схемы перекрестного тока</t>
  </si>
  <si>
    <t>Присос воздуха в ВП</t>
  </si>
  <si>
    <t>Коэффициент избытка воздуха на выходе из ВП</t>
  </si>
  <si>
    <t>Alfa = 1</t>
  </si>
  <si>
    <t>Аэродинамическое сопротивление трубного пучка по газам</t>
  </si>
  <si>
    <t>Аэродинамическое сопротивление трубного пучка по воздуху</t>
  </si>
  <si>
    <t>Аэродинамическое сопротивление перепускного короба</t>
  </si>
  <si>
    <t>* - неточно!!!</t>
  </si>
  <si>
    <t>Аэродинамическое сопротивление трубного пучка по продуктам сгорания</t>
  </si>
  <si>
    <t>Коэффициент аэродинамического сопротивления по внутритрубному пространству (продуктам сгорания)</t>
  </si>
  <si>
    <t>Предварительный подбор газоходов</t>
  </si>
  <si>
    <t>Горячий газоход</t>
  </si>
  <si>
    <t>Выдерживаемая скорость в газоходе</t>
  </si>
  <si>
    <t>Плотность среды в газоходе</t>
  </si>
  <si>
    <t>Холодный газоход</t>
  </si>
  <si>
    <t>Толщина футеровки</t>
  </si>
  <si>
    <t>Толщина стенки обечайки</t>
  </si>
  <si>
    <t>Воздуховод холодного воздуха, байпаса</t>
  </si>
  <si>
    <t>Выдерживаемая скорость в воздуховоде</t>
  </si>
  <si>
    <t>Плотность среды в воздуховоде</t>
  </si>
  <si>
    <t>Внутренний диаметр воздуховода</t>
  </si>
  <si>
    <t>Толщина теплоизоляции</t>
  </si>
  <si>
    <t>Воздуховод горячего воздуха</t>
  </si>
  <si>
    <t>Температура среды в газоходе</t>
  </si>
  <si>
    <t>Массовый расход воздуха</t>
  </si>
  <si>
    <t>Температура среды</t>
  </si>
  <si>
    <t>Минимальный наружный диаметр</t>
  </si>
  <si>
    <t>Расход на вентиляторе</t>
  </si>
  <si>
    <t>По продукту</t>
  </si>
  <si>
    <t>По продуктам сгорания</t>
  </si>
  <si>
    <t>Обогреваемая длина трубы</t>
  </si>
  <si>
    <t xml:space="preserve">Ширина конвективного газохода </t>
  </si>
  <si>
    <t>Глубина конвективного газохода</t>
  </si>
  <si>
    <t>Число труб в ряду (число труб по ширине газохода) в одном потоке</t>
  </si>
  <si>
    <t>Число рядов гладких труб в конвективном змеевике</t>
  </si>
  <si>
    <t>Число рядов оребренных труб в конвективном змеевике</t>
  </si>
  <si>
    <t>Толщина ребра</t>
  </si>
  <si>
    <t>Число ребер на погонном метре трубы</t>
  </si>
  <si>
    <t>Шаг ребер</t>
  </si>
  <si>
    <t>Число гладких труб в конвективном змеевике</t>
  </si>
  <si>
    <t>Число оребренных труб в конвективном змеевике</t>
  </si>
  <si>
    <t>Площадь поверхности нагрева гладкотрубной части конвективного змеевика (площадь гладких труб)</t>
  </si>
  <si>
    <t>Тепловосприятие конвекции</t>
  </si>
  <si>
    <t>Площадь проходного сечения для продуктов сгорания</t>
  </si>
  <si>
    <t>Площадь проходного сечения для продукта</t>
  </si>
  <si>
    <t>Объемный расход продуктов сгорания</t>
  </si>
  <si>
    <t>Тип тока (0 - Противоток; 1 - Прямоток)</t>
  </si>
  <si>
    <t>Требуемое тепловосприятие конвекции</t>
  </si>
  <si>
    <t>Метод НТР / РТМ</t>
  </si>
  <si>
    <t>Коэффициент теплоотдачи от стенки трубы к продукту</t>
  </si>
  <si>
    <t>Коэффициент эффективности конвективного пучка</t>
  </si>
  <si>
    <t>Гладкотрубный пучек</t>
  </si>
  <si>
    <t>Баланс гладкотрубного пучка</t>
  </si>
  <si>
    <t>Энтальпия продукта на входе в печь</t>
  </si>
  <si>
    <t>кДж/кг</t>
  </si>
  <si>
    <t>Энтальпия продукта на выходе из печи</t>
  </si>
  <si>
    <t>Температура продуктов сгорания на входе в конвекцию 1</t>
  </si>
  <si>
    <t>Энтальпия продуктов сгорания на входе в конвекцию 1</t>
  </si>
  <si>
    <t>Температура продуктов сгорания на выходе из конвекции 1 (задаемся)</t>
  </si>
  <si>
    <t>Энтальпия продуктов сгорания на выходе из конвекции 1</t>
  </si>
  <si>
    <t>Балансовое тепловосприятие конвективной части 1</t>
  </si>
  <si>
    <t>Температура продукта на входе в конвекцию 1</t>
  </si>
  <si>
    <t>Энтальпия продукта на входе в конвекцию 1</t>
  </si>
  <si>
    <t>Температура продукта на выходе из конвекции 1</t>
  </si>
  <si>
    <t>Энтальпия продукта на выходе из конвекции 1</t>
  </si>
  <si>
    <t>Балансовое тепловосприятие по продукту</t>
  </si>
  <si>
    <t>Лучистое тепло из топки</t>
  </si>
  <si>
    <t>Суммарное тепловосприятие</t>
  </si>
  <si>
    <t>Температура продукта на входе в радиантный змеевик</t>
  </si>
  <si>
    <t>Энтальпия продукта на входе в радиантный змеевик</t>
  </si>
  <si>
    <t>Температура продукта на выходе из радиантного змеевика</t>
  </si>
  <si>
    <t>Энтальпия продукта на выходе из радиантного змеевика</t>
  </si>
  <si>
    <t>Коэффициент использования</t>
  </si>
  <si>
    <t>Коэффициент теплоотдачи излучением</t>
  </si>
  <si>
    <t xml:space="preserve">Коэффициент теплоотдачи конвекцией </t>
  </si>
  <si>
    <t>Коэффициент теплоотдачи от продуктов сгорания стенке гладкой трубы, Alfa1</t>
  </si>
  <si>
    <t>Давление продуктов сгорания в камере конвекции</t>
  </si>
  <si>
    <t>Коэффициент ослабления лучей</t>
  </si>
  <si>
    <t>Степень черноты потока газов</t>
  </si>
  <si>
    <t>Температура слоя золовых отложений</t>
  </si>
  <si>
    <t>* итерация здесь!</t>
  </si>
  <si>
    <t>* надо уточнять и автоматизировать</t>
  </si>
  <si>
    <t>* надо правильно расчитать!</t>
  </si>
  <si>
    <t>Энтальпия продукта на входе</t>
  </si>
  <si>
    <t>Температура продукта на выходе</t>
  </si>
  <si>
    <t>Оребренный пучек</t>
  </si>
  <si>
    <t>Теплопроводность металла ребра</t>
  </si>
  <si>
    <t>Температура продуктов сгорания на входе в конвекцию 2</t>
  </si>
  <si>
    <t>Энтальпия продуктов сгорания на входе в конвекцию 2</t>
  </si>
  <si>
    <t>Температура продуктов сгорания на выходе из конвекции 2 (задаемся)</t>
  </si>
  <si>
    <t>Энтальпия продуктов сгорания на выходе из конвекции 2</t>
  </si>
  <si>
    <t>Балансовое тепловосприятие конвективной части 2</t>
  </si>
  <si>
    <t>Баланс оребренного пучка</t>
  </si>
  <si>
    <t>Температура продукта на входе в конвекцию 2</t>
  </si>
  <si>
    <t>Энтальпия продукта на входе в конвекцию 2</t>
  </si>
  <si>
    <t>Температура продукта на выходе из конвекции 2</t>
  </si>
  <si>
    <t>Энтальпия продукта на выходе из конвекции 2</t>
  </si>
  <si>
    <t>Приведенный коэффициент теплоотдачи конвекцией от газов к стенке</t>
  </si>
  <si>
    <t>Площадь внутренней поверхности труб</t>
  </si>
  <si>
    <t>Полная площадь поверхности нагрева оребренной конвекции</t>
  </si>
  <si>
    <t>Тип пучка (0 - шахматный; 1 - коридорный)</t>
  </si>
  <si>
    <t>Общий режим расчета (0 - автоматический; 1 - ручной)</t>
  </si>
  <si>
    <t>Поле для ввода температуры уходящих газов</t>
  </si>
  <si>
    <t>Режим расчета гладкотрубной части конвекции (0 - автоматический; 1 - ручной)</t>
  </si>
  <si>
    <t>Поле для ввода температуры продуктов сгорания на выходе из конвекции 1</t>
  </si>
  <si>
    <t>Режим расчета оребренной части конвекции (0 - автоматический; 1 - ручной)</t>
  </si>
  <si>
    <t>Поле для ввода температуры продуктов сгорания на выходе из конвекции 2</t>
  </si>
  <si>
    <t>не связано со сжиганием топлива</t>
  </si>
  <si>
    <t>Зона решения</t>
  </si>
  <si>
    <t>Qt</t>
  </si>
  <si>
    <t>Qb</t>
  </si>
  <si>
    <t>Rez Teta</t>
  </si>
  <si>
    <t>Rez Qt</t>
  </si>
  <si>
    <t>Точка 1</t>
  </si>
  <si>
    <t>Точка 2</t>
  </si>
  <si>
    <t>Энтальпия продукта на выходе</t>
  </si>
  <si>
    <t>Давление</t>
  </si>
  <si>
    <t>Температура</t>
  </si>
  <si>
    <t xml:space="preserve">Преобразованное представление </t>
  </si>
  <si>
    <t>Определенная плотность жидкой фазы</t>
  </si>
  <si>
    <t>Liquid 2 density</t>
  </si>
  <si>
    <t>Заданные типоразмеры труб</t>
  </si>
  <si>
    <t>Массовый расход продукта в печи</t>
  </si>
  <si>
    <t>Конвективный змеевик</t>
  </si>
  <si>
    <t>Радиантный змеевик</t>
  </si>
  <si>
    <t>Массовое расходное паросодержание на входе в печь</t>
  </si>
  <si>
    <t>Давление продукта на входе в печь (абс)</t>
  </si>
  <si>
    <t>Давление продукта на выходе из печи (абс)</t>
  </si>
  <si>
    <t>Массовый расход жидкой фазы на входе в печь</t>
  </si>
  <si>
    <t>Массовый расход паровой фазы на входе в печь</t>
  </si>
  <si>
    <t>Плотность жидкой фазы на входе в печь</t>
  </si>
  <si>
    <t>Плотность паровой фазы на входе в печь</t>
  </si>
  <si>
    <t>Доля конвекции по теплу</t>
  </si>
  <si>
    <t>Давление продукта на входе в радиацию (абс)</t>
  </si>
  <si>
    <t>Массовое расходное паросодержание на выходе из печи</t>
  </si>
  <si>
    <t>Массовый расход жидкой фазы на выходе из печи</t>
  </si>
  <si>
    <t>Массовый расход паровой фазы на выходе из печи</t>
  </si>
  <si>
    <t>Плотность жидкой фазы на выходе из печи</t>
  </si>
  <si>
    <t>Плотность паровой фазы на выходе из печи</t>
  </si>
  <si>
    <t>Массовое расходное паросодержание на входе в радиацию</t>
  </si>
  <si>
    <t>Массовый расход жидкой фазы на входе в радиацию</t>
  </si>
  <si>
    <t>Массовый расход паровой фазы на входе в радиацию</t>
  </si>
  <si>
    <t>Энтальпия продукта на входе в радиацию</t>
  </si>
  <si>
    <t>Плотность жидкой фазы на входе в радиацию</t>
  </si>
  <si>
    <t>Плотность паровой фазы на входе в радиацию</t>
  </si>
  <si>
    <t>Плотность смеси</t>
  </si>
  <si>
    <t>Приведенная скорость жидкой фазы, м/с</t>
  </si>
  <si>
    <t>Приведенная скорость паровой фазы, м/с</t>
  </si>
  <si>
    <t>Скорость смеси фазы, м/с</t>
  </si>
  <si>
    <t>На входе в конвекцию:</t>
  </si>
  <si>
    <t>На выходе из конвекции:</t>
  </si>
  <si>
    <t>На выходе из радиации:</t>
  </si>
  <si>
    <t>1) Минимальная скорость смеси</t>
  </si>
  <si>
    <t>4) Максимальная скорость жидкой фазы</t>
  </si>
  <si>
    <t xml:space="preserve">2) Максимальная скорость смеси </t>
  </si>
  <si>
    <t>3) Минимальная скорость жидкой фазы</t>
  </si>
  <si>
    <t>2) Максимальная скорость смеси</t>
  </si>
  <si>
    <t>5) Минимальная скорость паровой фазы</t>
  </si>
  <si>
    <t>6) Массимальная скорость паровой фазы</t>
  </si>
  <si>
    <t>4) Массимальная скорость жидкой фазы</t>
  </si>
  <si>
    <t>6) Максимальная скорость паровой фазы</t>
  </si>
  <si>
    <t>Выбранный диаметр</t>
  </si>
  <si>
    <t>Выбрранная поточность</t>
  </si>
  <si>
    <t>Скорость смеси, м/с</t>
  </si>
  <si>
    <t>Данные по горелкам из каталога</t>
  </si>
  <si>
    <t>Шаг труб</t>
  </si>
  <si>
    <t>Тип горелки (1 - инжекционная; 2 - дутьевая)</t>
  </si>
  <si>
    <t>Тип сжигаемого топлива (1 - мазут; 2 - газ)</t>
  </si>
  <si>
    <t>Номинальная мощность одной горелки</t>
  </si>
  <si>
    <t>Наружный диаметр горелочного камня</t>
  </si>
  <si>
    <t>Решение</t>
  </si>
  <si>
    <t>Отношение максимально возможной мощности печи к номинальной мощности горелки</t>
  </si>
  <si>
    <t>Коэффициент увеличения мощности печи по ГОСТ Р</t>
  </si>
  <si>
    <t>Число требуемых горелок, заданной мощности</t>
  </si>
  <si>
    <t>Максимальное тепловыделение на одну горелку</t>
  </si>
  <si>
    <t>Расстояние по вертикали до осевой линии потолочных труб или до огнеупора (только при вертикальном факеле), м</t>
  </si>
  <si>
    <t>Расстояние по горизонтали от осевой линии горелки до осевой линии стеновых труб, м</t>
  </si>
  <si>
    <t>Расстояние по горизонтали от осевой линии горелки до неэкранированного огнеупора, м</t>
  </si>
  <si>
    <t>Расстояние между противоположными горелками (при горизонтальном факеле), м</t>
  </si>
  <si>
    <t>НПЦ ЭО</t>
  </si>
  <si>
    <t>Номинальная длина видимого факела, мазут</t>
  </si>
  <si>
    <t>Номинальная длина видимого факела, газ</t>
  </si>
  <si>
    <t>Относительная разница тепловосприятий</t>
  </si>
  <si>
    <t>Число выбранных горелок, заданной мощности</t>
  </si>
  <si>
    <t>Минимальное расстояние между горелочными камнями</t>
  </si>
  <si>
    <t>Максимальное расстояние между горелочными камнями</t>
  </si>
  <si>
    <t>Минимальный диаметр, на котором расположены горелки</t>
  </si>
  <si>
    <t>Максимальный диаметр, на котором расположены горелки</t>
  </si>
  <si>
    <t>Минимальная длина, на которой расположены горелки</t>
  </si>
  <si>
    <t>Максимальная длина, на которой расположены горелки</t>
  </si>
  <si>
    <t>I-Teta-t - диаграмма</t>
  </si>
  <si>
    <t>Энтальпия газов</t>
  </si>
  <si>
    <t>Температура газов</t>
  </si>
  <si>
    <t>ух. газы</t>
  </si>
  <si>
    <t>вх. Ор.</t>
  </si>
  <si>
    <t>вх. Гл./вых. Топ.</t>
  </si>
  <si>
    <t>Вх. Топ</t>
  </si>
  <si>
    <t>Материал стенки радиантной трубы (1 - Сталь 3; 2 - Сталь 10, 20; 3 - Сталь 12Х1МФ, 12ХМФ; 4 - Сталь 12ХМ, 15ХМ; 5 - 12Х2МФСР; 6 - 11Х11В2МФ (ЭИ-756); 7 - 12Х18Н10Т, 12Х18Н12Т; 8 - 12Х14Н14В2М (ЭИ-257), 09Х14Н19В2БР (695Р);</t>
  </si>
  <si>
    <t>Материал трубы (1 - Сталь 3; 2 - Сталь 10, 20; 3 - Сталь 12Х1МФ, 12ХМФ; 4 - Сталь 12ХМ, 15ХМ; 5 - 12Х2МФСР; 6 - 11Х11В2МФ (ЭИ-756); 7 - 12Х18Н10Т, 12Х18Н12Т; 8 - 12Х14Н14В2М (ЭИ-257), 09Х14Н19В2БР (695Р);</t>
  </si>
  <si>
    <t>Материал ребер (1 - Сталь 3; 2 - Сталь 10, 20; 3 - Сталь 12Х1МФ, 12ХМФ; 4 - Сталь 12ХМ, 15ХМ; 5 - 12Х2МФСР; 6 - 11Х11В2МФ (ЭИ-756); 7 - 12Х18Н10Т, 12Х18Н12Т; 8 - 12Х14Н14В2М (ЭИ-257), 09Х14Н19В2БР (695Р);</t>
  </si>
  <si>
    <t>Средняя температура стенки трубы</t>
  </si>
  <si>
    <t>Рачет обогреваемой трубы, работающей под внутренним избыточным давлением, при наличии коррозии</t>
  </si>
  <si>
    <t>Средняя теплоемкость продуктов сгорания</t>
  </si>
  <si>
    <t>кДж/(кг*К)</t>
  </si>
  <si>
    <t>Средняя теплоемкость воздуха</t>
  </si>
  <si>
    <t>Средняя динамическая вязкость продуктов сгорания</t>
  </si>
  <si>
    <t>мПа*с</t>
  </si>
  <si>
    <t>Средняя динамическая вязкость воздуха</t>
  </si>
  <si>
    <t>Тип тока (0 - противоток; 1 - прямоток)</t>
  </si>
  <si>
    <t>Коэффициент аэродинамического сопротивления по межтрубному пространству (воздуху) 1 хода</t>
  </si>
  <si>
    <t>Минимальный диаметр змеевика</t>
  </si>
  <si>
    <t>Минимальный диаметр змеевика 2 - с максимальным диаметром горелок</t>
  </si>
  <si>
    <t>ГКВД-0,5</t>
  </si>
  <si>
    <t>ГКВД-1,0</t>
  </si>
  <si>
    <t>ГКВД-1,5</t>
  </si>
  <si>
    <t>ГКВД-3,5</t>
  </si>
  <si>
    <t>ГКВД-4,0</t>
  </si>
  <si>
    <t>ГКВД-3,0</t>
  </si>
  <si>
    <t>ГКВД-5,0</t>
  </si>
  <si>
    <t>ГКВД-6,0</t>
  </si>
  <si>
    <t>Цилиндрическая топка с вертикальными трубами</t>
  </si>
  <si>
    <t>Вариант 1 подбора</t>
  </si>
  <si>
    <t>Вариант 2 подбора</t>
  </si>
  <si>
    <t>Наружний диаметр труб змеевика</t>
  </si>
  <si>
    <t>Расстояние от футеровки пода до обр. трубы</t>
  </si>
  <si>
    <t>Расстояние от футеровки потолка до оси трубы (справ)</t>
  </si>
  <si>
    <t>Расстояние от футеровки потолка до оси трубы (факт)</t>
  </si>
  <si>
    <t>Расстояние от футеровки стены до оси трубы (справ)</t>
  </si>
  <si>
    <t>Расстояние от футеровки стены до оси трубы (факт)</t>
  </si>
  <si>
    <t>Коробчатая топка с вертикальными трубами на боковых стенах</t>
  </si>
  <si>
    <t>Коробчатая топка с горизонтальными трубами на боковых стенах</t>
  </si>
  <si>
    <t>Коробчатая топка с вертикальными трубами по всему периметру</t>
  </si>
  <si>
    <t>Коробчатая топка с горизонтальными трубами по всему периметру (витой змеевик)</t>
  </si>
  <si>
    <t>Цилиндрическая топка с витым змеевиком</t>
  </si>
  <si>
    <t>Минимальный коэффициент формы топки</t>
  </si>
  <si>
    <t>Максимальный коэффициент формы топки</t>
  </si>
  <si>
    <t>Сталь 09Г2С</t>
  </si>
  <si>
    <t>Опытный коэффициент панелей</t>
  </si>
  <si>
    <t>Фактическая длина видимого факела 1</t>
  </si>
  <si>
    <t>Фактическая длина видимого факела 2</t>
  </si>
  <si>
    <t>Минимальное общее число труб в змеевике 1</t>
  </si>
  <si>
    <t>Минимальное число труб в каждом потоке 1</t>
  </si>
  <si>
    <t>Минимальное общее число труб в змеевике 2</t>
  </si>
  <si>
    <t>Минимальное число труб в каждом потоке 2</t>
  </si>
  <si>
    <t>Уточненный минимальный диаметр змеевика 2</t>
  </si>
  <si>
    <t>Уточненный минимальный диаметр змеевика 1</t>
  </si>
  <si>
    <t>Минимальная высота топки по минимальному диаметру змеевика 1 и минимальному коэффициенту формы топки</t>
  </si>
  <si>
    <t>Минимальная высота топки по минимальному диаметру змеевика 2 и минимальному коэффициенту формы топки</t>
  </si>
  <si>
    <t>Максимальная высота топки по минимальному диаметру змеевика 1 и максимальному коэффициенту формы топки</t>
  </si>
  <si>
    <t>Максимальная высота топки по минимальному диаметру змеевика 2 и максимальному коэффициенту формы топки</t>
  </si>
  <si>
    <t>Выбранное число труб в каждом потоке</t>
  </si>
  <si>
    <t xml:space="preserve">Общее число труб в змеевике выбранное </t>
  </si>
  <si>
    <t>Фактический диаметр змеевика</t>
  </si>
  <si>
    <t>Номинальная мощность печи</t>
  </si>
  <si>
    <t>Расчетная мощность печи для расчета горелки</t>
  </si>
  <si>
    <t>Минимальная высота топки по коэффициенту формы топки</t>
  </si>
  <si>
    <t>Минимальная высота топки по ГОСТ Р</t>
  </si>
  <si>
    <t>Максимальная высота топки по коэффицинту формы топки</t>
  </si>
  <si>
    <t>Минимальная высота топки по высоте факела</t>
  </si>
  <si>
    <t>Максимально возможная высота топки по максимальной длине трубы</t>
  </si>
  <si>
    <t>Выбранная высота топки, для варианта змеевика</t>
  </si>
  <si>
    <t>Фактический коэффициент формы топки</t>
  </si>
  <si>
    <t>Фактическая длина прямого участка трубы радиантного змеевика</t>
  </si>
  <si>
    <t>Площадь поверхности нагрева выбранного змеевика</t>
  </si>
  <si>
    <t>Отклонение от минимума площади</t>
  </si>
  <si>
    <t>Наименьшая возможная высота топки</t>
  </si>
  <si>
    <t>Набольшая возможная высота топки</t>
  </si>
  <si>
    <t>Коэффициент формы топки меньший</t>
  </si>
  <si>
    <t>Коэффициент формы топки больший</t>
  </si>
  <si>
    <t>Меньшая длина трубы радиантного змеевика</t>
  </si>
  <si>
    <t>Большая длина трубы радиантного змеевика</t>
  </si>
  <si>
    <t>Меньшая площадь поверхности нагрева</t>
  </si>
  <si>
    <t>Большая площадь поверхности нагрева</t>
  </si>
  <si>
    <t>Приблизительное максимальное теплонапряжение поверхности нагрева</t>
  </si>
  <si>
    <t>Допустимое среднефактическое теплонапряжение поверхности экрана</t>
  </si>
  <si>
    <t>Приблизительное максимальное теплонапряжение меньшей площади поверхности нагрева</t>
  </si>
  <si>
    <t>Приблизительное максимальное теплонапряжение большей площади поверхности нагрева</t>
  </si>
  <si>
    <t>Коэффициент для расчетной мощности печи</t>
  </si>
  <si>
    <t>Вариант 3 подбора</t>
  </si>
  <si>
    <t>Общие данные</t>
  </si>
  <si>
    <t>Средняя максимальная температура воздуха</t>
  </si>
  <si>
    <t>Температура продуктов сгорания на перевале</t>
  </si>
  <si>
    <t>Температура продуктов сгорания после гладкотрубной части конвекции</t>
  </si>
  <si>
    <t>Температура продуктов сгорания после оребреннойчасти конвекции (уходящие)</t>
  </si>
  <si>
    <t>Температура металла продуктового змеевика</t>
  </si>
  <si>
    <t>Под камеры радиации</t>
  </si>
  <si>
    <t>Минимальная расчетная температура горячей стороны футеровки</t>
  </si>
  <si>
    <t>Требуемая температура наружной поверхности</t>
  </si>
  <si>
    <t>Число слоев футеровки</t>
  </si>
  <si>
    <t>Температура футеровки на стыке слоев (задаемся)</t>
  </si>
  <si>
    <t>итерируем</t>
  </si>
  <si>
    <t>Толщина металлической обшивки</t>
  </si>
  <si>
    <t>Материал стенки обшивки (1 - Сталь 3; 2 - Сталь 10, 20; 3 - Сталь 12Х1МФ, 12ХМФ; 4 - Сталь 12ХМ, 15ХМ; 5 - 12Х2МФСР; 6 - 11Х11В2МФ (ЭИ-756); 7 - 12Х18Н10Т, 12Х18Н12Т; 8 - 12Х14Н14В2М (ЭИ-257), 09Х14Н19В2БР (695Р);</t>
  </si>
  <si>
    <t>Теплопроводность металлической стенки</t>
  </si>
  <si>
    <t>Средняя температура 1 слоя футеровки</t>
  </si>
  <si>
    <t>Толщина 1 слоя футеровки</t>
  </si>
  <si>
    <t>Теплопроводность 1 слоя футеровки</t>
  </si>
  <si>
    <t>Средняя температура 2 слоя футеровки</t>
  </si>
  <si>
    <t>Толщина 2 слоя футеровки</t>
  </si>
  <si>
    <t>Теплопроводность 2 слоя футеровки</t>
  </si>
  <si>
    <t>Тепловой поток</t>
  </si>
  <si>
    <t>Вт</t>
  </si>
  <si>
    <t>Коэффициент теплоотдачи от потока внутренней среды к  внутренней поверхности футеровки</t>
  </si>
  <si>
    <t>Коэффициент теплоотдачи от наружной поверхности футеровки к окружающей среде (зависит от расположения агрегата и нормативных документов, скорости ветра</t>
  </si>
  <si>
    <t>Скорость ветра минимальная за июнь</t>
  </si>
  <si>
    <t>Температура наружной поверхности футеровки</t>
  </si>
  <si>
    <t>Температура футеровки на стыке слоев расчетная</t>
  </si>
  <si>
    <t>Экранируемые стены камеры радиации</t>
  </si>
  <si>
    <t>Неэкранируемые стены камеры радиации и свод</t>
  </si>
  <si>
    <t>Камера конвекции гладкотрубная часть</t>
  </si>
  <si>
    <t>Камера конвекции оребренная часть</t>
  </si>
  <si>
    <t>Температура внутренней поверхности футеровки</t>
  </si>
  <si>
    <t>Шибер, переходник, дымовая труба</t>
  </si>
  <si>
    <t>Толщина изоляции в уплотненном состоянии</t>
  </si>
  <si>
    <t>Коэффициент уплотнения</t>
  </si>
  <si>
    <t>Тип поверхности (1 - цилиндр; 2 - плоскость)</t>
  </si>
  <si>
    <t>Диаметр цилиндрической поверхности</t>
  </si>
  <si>
    <t>Коэффициент к толщине</t>
  </si>
  <si>
    <t>Толщина теплоизоляционного изделия до уплотнения</t>
  </si>
  <si>
    <t>Произведение для цилиндрической стенки</t>
  </si>
  <si>
    <t>Произведение для плоскости</t>
  </si>
  <si>
    <t>Определение толщины теплоизоляции до уплотнения</t>
  </si>
  <si>
    <t>Метод НТР КА 1998 г</t>
  </si>
  <si>
    <t>Критерий поглощательной способности (критерий Бургера)</t>
  </si>
  <si>
    <t>Эффективное значение критерия Бургера</t>
  </si>
  <si>
    <t>Параметр М</t>
  </si>
  <si>
    <t>Параметр забаластированности продуктов сгорания</t>
  </si>
  <si>
    <t>Коэффициент рециркуляции</t>
  </si>
  <si>
    <t>Относительная высота горелок</t>
  </si>
  <si>
    <t>Параметр М0</t>
  </si>
  <si>
    <t>Коэффициент тепловой эффективности экранов</t>
  </si>
  <si>
    <t>Коэффициент тепловой эффективности окна</t>
  </si>
  <si>
    <t>Коэффициент тепловой эффективности неэкранированной площади</t>
  </si>
  <si>
    <t>Угловой коэффициент экранов</t>
  </si>
  <si>
    <t>Коэффициент, учитывающий снижение тепловосприятие экрана при его загрязнении (табл. 6-3)</t>
  </si>
  <si>
    <t>Этот же коэффициент для окна</t>
  </si>
  <si>
    <t>Площадь экранированных стен</t>
  </si>
  <si>
    <t>Площадь неэкранированных стен</t>
  </si>
  <si>
    <t>Площадь окна</t>
  </si>
  <si>
    <t>Средний коэффициент тепловой эффестивности стен топочной камеры</t>
  </si>
  <si>
    <t>Лучевоспринимающая поверхность</t>
  </si>
  <si>
    <t>Критерий Больцмана</t>
  </si>
  <si>
    <t>Материал 1 слоя футеровки</t>
  </si>
  <si>
    <t>Материал 2 слоя футеровки</t>
  </si>
</sst>
</file>

<file path=xl/styles.xml><?xml version="1.0" encoding="utf-8"?>
<styleSheet xmlns="http://schemas.openxmlformats.org/spreadsheetml/2006/main">
  <numFmts count="6">
    <numFmt numFmtId="164" formatCode="0.000"/>
    <numFmt numFmtId="165" formatCode="0.0"/>
    <numFmt numFmtId="166" formatCode="0.0000"/>
    <numFmt numFmtId="167" formatCode="0.0E+00"/>
    <numFmt numFmtId="168" formatCode="0.0000000"/>
    <numFmt numFmtId="169" formatCode="0.00000"/>
  </numFmts>
  <fonts count="1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4"/>
      <color theme="1"/>
      <name val="Symbol"/>
      <family val="1"/>
      <charset val="2"/>
    </font>
    <font>
      <vertAlign val="superscript"/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7">
    <xf numFmtId="0" fontId="0" fillId="0" borderId="0" xfId="0"/>
    <xf numFmtId="0" fontId="0" fillId="2" borderId="0" xfId="0" applyFill="1"/>
    <xf numFmtId="2" fontId="0" fillId="0" borderId="0" xfId="0" applyNumberFormat="1" applyAlignment="1">
      <alignment horizontal="right"/>
    </xf>
    <xf numFmtId="164" fontId="0" fillId="0" borderId="0" xfId="0" applyNumberFormat="1"/>
    <xf numFmtId="2" fontId="0" fillId="0" borderId="0" xfId="0" applyNumberFormat="1"/>
    <xf numFmtId="0" fontId="0" fillId="0" borderId="0" xfId="0" applyBorder="1"/>
    <xf numFmtId="0" fontId="1" fillId="0" borderId="0" xfId="0" applyFont="1"/>
    <xf numFmtId="0" fontId="0" fillId="0" borderId="0" xfId="0" applyAlignment="1">
      <alignment wrapText="1"/>
    </xf>
    <xf numFmtId="0" fontId="0" fillId="3" borderId="0" xfId="0" applyFill="1"/>
    <xf numFmtId="165" fontId="0" fillId="0" borderId="0" xfId="0" applyNumberFormat="1"/>
    <xf numFmtId="11" fontId="0" fillId="2" borderId="0" xfId="0" applyNumberFormat="1" applyFill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/>
    <xf numFmtId="0" fontId="1" fillId="0" borderId="0" xfId="0" applyFont="1" applyBorder="1"/>
    <xf numFmtId="0" fontId="0" fillId="0" borderId="0" xfId="0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4" borderId="0" xfId="0" applyFont="1" applyFill="1"/>
    <xf numFmtId="0" fontId="2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left"/>
    </xf>
    <xf numFmtId="0" fontId="3" fillId="0" borderId="0" xfId="0" applyFont="1" applyAlignment="1">
      <alignment horizontal="left" indent="5"/>
    </xf>
    <xf numFmtId="0" fontId="3" fillId="0" borderId="0" xfId="0" applyFont="1" applyAlignment="1">
      <alignment horizontal="left" indent="2"/>
    </xf>
    <xf numFmtId="0" fontId="3" fillId="0" borderId="0" xfId="0" applyFont="1" applyAlignment="1">
      <alignment horizontal="left" indent="7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0" xfId="0" applyFont="1" applyAlignment="1">
      <alignment wrapText="1"/>
    </xf>
    <xf numFmtId="165" fontId="0" fillId="4" borderId="0" xfId="0" applyNumberFormat="1" applyFill="1" applyAlignment="1">
      <alignment horizontal="center" vertical="center"/>
    </xf>
    <xf numFmtId="165" fontId="1" fillId="4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/>
    <xf numFmtId="0" fontId="4" fillId="0" borderId="0" xfId="0" applyFont="1"/>
    <xf numFmtId="0" fontId="3" fillId="0" borderId="0" xfId="0" applyFont="1" applyAlignment="1">
      <alignment horizontal="right" vertical="center"/>
    </xf>
    <xf numFmtId="165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2" fontId="3" fillId="0" borderId="0" xfId="0" applyNumberFormat="1" applyFont="1" applyAlignment="1">
      <alignment horizontal="center" vertical="center"/>
    </xf>
    <xf numFmtId="11" fontId="3" fillId="2" borderId="0" xfId="0" applyNumberFormat="1" applyFont="1" applyFill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/>
    <xf numFmtId="2" fontId="0" fillId="5" borderId="0" xfId="0" applyNumberFormat="1" applyFill="1"/>
    <xf numFmtId="0" fontId="7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0" fillId="5" borderId="0" xfId="0" applyFill="1"/>
    <xf numFmtId="0" fontId="0" fillId="0" borderId="0" xfId="0" applyFill="1"/>
    <xf numFmtId="165" fontId="0" fillId="5" borderId="0" xfId="0" applyNumberFormat="1" applyFill="1"/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right"/>
    </xf>
    <xf numFmtId="0" fontId="0" fillId="5" borderId="0" xfId="0" applyFill="1" applyAlignment="1">
      <alignment horizontal="right" vertical="center"/>
    </xf>
    <xf numFmtId="0" fontId="0" fillId="4" borderId="0" xfId="0" applyFill="1" applyAlignment="1">
      <alignment horizontal="right" vertical="center"/>
    </xf>
    <xf numFmtId="2" fontId="0" fillId="5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0" xfId="0" applyFont="1" applyBorder="1" applyAlignment="1">
      <alignment horizontal="left"/>
    </xf>
    <xf numFmtId="0" fontId="9" fillId="0" borderId="0" xfId="0" applyFont="1" applyBorder="1"/>
    <xf numFmtId="0" fontId="0" fillId="0" borderId="0" xfId="0" applyAlignment="1">
      <alignment horizontal="center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2" fontId="1" fillId="0" borderId="0" xfId="0" applyNumberFormat="1" applyFont="1" applyAlignment="1">
      <alignment horizontal="right" vertical="center"/>
    </xf>
    <xf numFmtId="0" fontId="0" fillId="2" borderId="0" xfId="0" applyFont="1" applyFill="1" applyAlignment="1">
      <alignment horizontal="right" vertical="center"/>
    </xf>
    <xf numFmtId="2" fontId="0" fillId="4" borderId="0" xfId="0" applyNumberFormat="1" applyFont="1" applyFill="1" applyAlignment="1">
      <alignment horizontal="right" vertical="center"/>
    </xf>
    <xf numFmtId="0" fontId="0" fillId="4" borderId="0" xfId="0" applyFont="1" applyFill="1" applyAlignment="1">
      <alignment horizontal="right" vertical="center"/>
    </xf>
    <xf numFmtId="0" fontId="0" fillId="0" borderId="0" xfId="0" applyFont="1" applyFill="1" applyAlignment="1">
      <alignment horizontal="right" vertical="center"/>
    </xf>
    <xf numFmtId="166" fontId="0" fillId="4" borderId="0" xfId="0" applyNumberFormat="1" applyFont="1" applyFill="1" applyAlignment="1">
      <alignment horizontal="right" vertical="center"/>
    </xf>
    <xf numFmtId="2" fontId="1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2" fontId="10" fillId="6" borderId="0" xfId="0" applyNumberFormat="1" applyFont="1" applyFill="1" applyAlignment="1">
      <alignment horizontal="right" vertical="center"/>
    </xf>
    <xf numFmtId="2" fontId="10" fillId="6" borderId="0" xfId="0" applyNumberFormat="1" applyFont="1" applyFill="1" applyAlignment="1">
      <alignment horizontal="right"/>
    </xf>
    <xf numFmtId="0" fontId="0" fillId="0" borderId="0" xfId="0" applyFont="1" applyAlignment="1">
      <alignment wrapText="1"/>
    </xf>
    <xf numFmtId="165" fontId="0" fillId="0" borderId="0" xfId="0" applyNumberForma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0" fillId="2" borderId="0" xfId="0" applyNumberFormat="1" applyFont="1" applyFill="1" applyAlignment="1">
      <alignment horizontal="center" vertical="center"/>
    </xf>
    <xf numFmtId="165" fontId="0" fillId="4" borderId="0" xfId="0" applyNumberFormat="1" applyFont="1" applyFill="1" applyAlignment="1">
      <alignment horizontal="center" vertical="center"/>
    </xf>
    <xf numFmtId="165" fontId="0" fillId="4" borderId="0" xfId="0" applyNumberFormat="1" applyFill="1"/>
    <xf numFmtId="2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ont="1" applyFill="1" applyAlignment="1">
      <alignment horizontal="center" vertical="center"/>
    </xf>
    <xf numFmtId="0" fontId="0" fillId="0" borderId="0" xfId="0" applyFont="1" applyFill="1"/>
    <xf numFmtId="165" fontId="0" fillId="0" borderId="0" xfId="0" applyNumberFormat="1" applyFill="1" applyAlignment="1">
      <alignment horizontal="left" vertical="center"/>
    </xf>
    <xf numFmtId="165" fontId="0" fillId="2" borderId="0" xfId="0" applyNumberFormat="1" applyFill="1"/>
    <xf numFmtId="165" fontId="0" fillId="5" borderId="0" xfId="0" applyNumberFormat="1" applyFill="1" applyAlignment="1">
      <alignment horizontal="center" vertical="center"/>
    </xf>
    <xf numFmtId="0" fontId="0" fillId="7" borderId="0" xfId="0" applyFill="1"/>
    <xf numFmtId="165" fontId="11" fillId="5" borderId="0" xfId="0" applyNumberFormat="1" applyFont="1" applyFill="1"/>
    <xf numFmtId="0" fontId="0" fillId="4" borderId="0" xfId="0" applyFill="1" applyBorder="1" applyAlignment="1">
      <alignment horizontal="center" vertical="center"/>
    </xf>
    <xf numFmtId="0" fontId="0" fillId="0" borderId="0" xfId="0" applyFill="1" applyAlignment="1">
      <alignment wrapText="1"/>
    </xf>
    <xf numFmtId="164" fontId="0" fillId="5" borderId="0" xfId="0" applyNumberFormat="1" applyFill="1" applyAlignment="1">
      <alignment vertical="center"/>
    </xf>
    <xf numFmtId="2" fontId="0" fillId="5" borderId="0" xfId="0" applyNumberFormat="1" applyFill="1" applyAlignment="1">
      <alignment vertical="center"/>
    </xf>
    <xf numFmtId="0" fontId="7" fillId="0" borderId="0" xfId="0" applyFont="1" applyAlignment="1">
      <alignment vertical="center" wrapText="1"/>
    </xf>
    <xf numFmtId="165" fontId="0" fillId="5" borderId="0" xfId="0" applyNumberFormat="1" applyFill="1" applyAlignment="1">
      <alignment vertical="center"/>
    </xf>
    <xf numFmtId="0" fontId="0" fillId="8" borderId="0" xfId="0" applyFill="1"/>
    <xf numFmtId="0" fontId="7" fillId="5" borderId="0" xfId="0" applyFont="1" applyFill="1" applyAlignment="1">
      <alignment wrapText="1"/>
    </xf>
    <xf numFmtId="2" fontId="0" fillId="2" borderId="0" xfId="0" applyNumberFormat="1" applyFill="1"/>
    <xf numFmtId="2" fontId="0" fillId="5" borderId="0" xfId="0" applyNumberFormat="1" applyFill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164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1" fillId="0" borderId="0" xfId="0" applyFont="1" applyAlignment="1">
      <alignment vertical="center" wrapText="1"/>
    </xf>
    <xf numFmtId="1" fontId="0" fillId="0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5" fontId="1" fillId="5" borderId="0" xfId="0" applyNumberFormat="1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2" fontId="1" fillId="5" borderId="0" xfId="0" applyNumberFormat="1" applyFont="1" applyFill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0" fillId="9" borderId="0" xfId="0" applyFill="1"/>
    <xf numFmtId="2" fontId="0" fillId="4" borderId="0" xfId="0" applyNumberFormat="1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1" fillId="0" borderId="0" xfId="0" applyFont="1" applyFill="1" applyAlignment="1">
      <alignment horizontal="center" vertical="center" wrapText="1"/>
    </xf>
    <xf numFmtId="165" fontId="0" fillId="4" borderId="0" xfId="0" applyNumberFormat="1" applyFill="1" applyAlignment="1">
      <alignment vertical="center"/>
    </xf>
    <xf numFmtId="166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applyFont="1" applyAlignment="1">
      <alignment vertical="center" wrapText="1"/>
    </xf>
    <xf numFmtId="165" fontId="0" fillId="9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65" fontId="0" fillId="0" borderId="0" xfId="0" applyNumberFormat="1" applyFill="1" applyAlignment="1">
      <alignment vertical="center"/>
    </xf>
    <xf numFmtId="165" fontId="1" fillId="5" borderId="0" xfId="0" applyNumberFormat="1" applyFont="1" applyFill="1" applyAlignment="1">
      <alignment vertical="center"/>
    </xf>
    <xf numFmtId="164" fontId="0" fillId="0" borderId="0" xfId="0" applyNumberFormat="1" applyFill="1" applyAlignment="1">
      <alignment vertical="center"/>
    </xf>
    <xf numFmtId="2" fontId="0" fillId="0" borderId="0" xfId="0" applyNumberFormat="1" applyFill="1" applyAlignment="1">
      <alignment vertical="center"/>
    </xf>
    <xf numFmtId="1" fontId="0" fillId="2" borderId="0" xfId="0" applyNumberFormat="1" applyFill="1" applyAlignment="1">
      <alignment vertical="center"/>
    </xf>
    <xf numFmtId="167" fontId="0" fillId="5" borderId="0" xfId="0" applyNumberFormat="1" applyFill="1" applyAlignment="1">
      <alignment vertical="center"/>
    </xf>
    <xf numFmtId="1" fontId="0" fillId="5" borderId="0" xfId="0" applyNumberFormat="1" applyFill="1" applyAlignment="1">
      <alignment vertical="center"/>
    </xf>
    <xf numFmtId="165" fontId="0" fillId="0" borderId="0" xfId="0" applyNumberFormat="1" applyAlignment="1">
      <alignment vertical="center"/>
    </xf>
    <xf numFmtId="165" fontId="0" fillId="10" borderId="0" xfId="0" applyNumberFormat="1" applyFill="1" applyAlignment="1">
      <alignment vertical="center"/>
    </xf>
    <xf numFmtId="165" fontId="1" fillId="0" borderId="0" xfId="0" applyNumberFormat="1" applyFont="1" applyFill="1" applyAlignment="1">
      <alignment vertical="center"/>
    </xf>
    <xf numFmtId="0" fontId="0" fillId="0" borderId="0" xfId="0" applyFont="1" applyAlignment="1">
      <alignment vertical="center"/>
    </xf>
    <xf numFmtId="168" fontId="0" fillId="2" borderId="0" xfId="0" applyNumberFormat="1" applyFill="1" applyAlignment="1">
      <alignment horizontal="center" vertical="center"/>
    </xf>
    <xf numFmtId="166" fontId="0" fillId="2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vertical="center"/>
    </xf>
    <xf numFmtId="1" fontId="0" fillId="4" borderId="0" xfId="0" applyNumberFormat="1" applyFill="1"/>
    <xf numFmtId="167" fontId="0" fillId="5" borderId="0" xfId="0" applyNumberFormat="1" applyFill="1" applyAlignment="1">
      <alignment horizontal="center" vertical="center"/>
    </xf>
    <xf numFmtId="1" fontId="0" fillId="0" borderId="0" xfId="0" applyNumberFormat="1" applyFill="1"/>
    <xf numFmtId="165" fontId="0" fillId="0" borderId="0" xfId="0" applyNumberFormat="1" applyFill="1"/>
    <xf numFmtId="0" fontId="0" fillId="0" borderId="0" xfId="0" applyFont="1" applyAlignment="1">
      <alignment horizontal="left" wrapText="1"/>
    </xf>
    <xf numFmtId="2" fontId="0" fillId="4" borderId="0" xfId="0" applyNumberFormat="1" applyFill="1" applyAlignment="1">
      <alignment horizontal="center" vertical="center"/>
    </xf>
    <xf numFmtId="165" fontId="0" fillId="5" borderId="0" xfId="0" applyNumberFormat="1" applyFont="1" applyFill="1" applyAlignment="1">
      <alignment horizontal="center" vertical="center"/>
    </xf>
    <xf numFmtId="164" fontId="0" fillId="5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165" fontId="0" fillId="11" borderId="0" xfId="0" applyNumberFormat="1" applyFill="1"/>
    <xf numFmtId="0" fontId="0" fillId="2" borderId="1" xfId="0" applyFill="1" applyBorder="1"/>
    <xf numFmtId="0" fontId="0" fillId="0" borderId="1" xfId="0" applyBorder="1"/>
    <xf numFmtId="11" fontId="1" fillId="0" borderId="0" xfId="0" applyNumberFormat="1" applyFont="1"/>
    <xf numFmtId="0" fontId="0" fillId="12" borderId="0" xfId="0" applyFill="1"/>
    <xf numFmtId="165" fontId="1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0" applyFont="1" applyFill="1"/>
    <xf numFmtId="0" fontId="0" fillId="0" borderId="0" xfId="0" applyFill="1" applyAlignment="1">
      <alignment horizontal="center"/>
    </xf>
    <xf numFmtId="166" fontId="0" fillId="10" borderId="0" xfId="0" applyNumberFormat="1" applyFill="1"/>
    <xf numFmtId="1" fontId="0" fillId="2" borderId="0" xfId="0" applyNumberForma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5" fontId="0" fillId="5" borderId="0" xfId="0" applyNumberFormat="1" applyFill="1" applyAlignment="1">
      <alignment horizontal="left" vertical="center" indent="2"/>
    </xf>
    <xf numFmtId="2" fontId="0" fillId="4" borderId="0" xfId="0" applyNumberFormat="1" applyFill="1"/>
    <xf numFmtId="169" fontId="0" fillId="2" borderId="0" xfId="0" applyNumberFormat="1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1" fillId="4" borderId="0" xfId="0" applyNumberFormat="1" applyFont="1" applyFill="1"/>
    <xf numFmtId="165" fontId="1" fillId="2" borderId="0" xfId="0" applyNumberFormat="1" applyFont="1" applyFill="1"/>
    <xf numFmtId="1" fontId="0" fillId="2" borderId="0" xfId="0" applyNumberFormat="1" applyFill="1"/>
    <xf numFmtId="164" fontId="0" fillId="4" borderId="0" xfId="0" applyNumberFormat="1" applyFill="1"/>
    <xf numFmtId="164" fontId="0" fillId="4" borderId="0" xfId="0" applyNumberFormat="1" applyFont="1" applyFill="1"/>
    <xf numFmtId="164" fontId="0" fillId="5" borderId="0" xfId="0" applyNumberFormat="1" applyFill="1"/>
    <xf numFmtId="164" fontId="0" fillId="2" borderId="0" xfId="0" applyNumberFormat="1" applyFill="1"/>
    <xf numFmtId="164" fontId="0" fillId="10" borderId="0" xfId="0" applyNumberFormat="1" applyFill="1"/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left" vertical="center"/>
    </xf>
    <xf numFmtId="2" fontId="0" fillId="10" borderId="0" xfId="0" applyNumberFormat="1" applyFill="1"/>
    <xf numFmtId="164" fontId="0" fillId="0" borderId="0" xfId="0" applyNumberFormat="1" applyFill="1"/>
    <xf numFmtId="1" fontId="0" fillId="10" borderId="0" xfId="0" applyNumberFormat="1" applyFill="1"/>
    <xf numFmtId="164" fontId="0" fillId="4" borderId="0" xfId="0" applyNumberFormat="1" applyFont="1" applyFill="1" applyAlignment="1">
      <alignment horizontal="center" vertical="center"/>
    </xf>
    <xf numFmtId="0" fontId="3" fillId="2" borderId="0" xfId="0" applyFont="1" applyFill="1" applyBorder="1"/>
    <xf numFmtId="0" fontId="1" fillId="0" borderId="0" xfId="0" applyFont="1" applyAlignment="1">
      <alignment horizontal="center"/>
    </xf>
    <xf numFmtId="165" fontId="0" fillId="10" borderId="0" xfId="0" applyNumberFormat="1" applyFill="1"/>
    <xf numFmtId="164" fontId="1" fillId="5" borderId="0" xfId="0" applyNumberFormat="1" applyFont="1" applyFill="1"/>
    <xf numFmtId="0" fontId="0" fillId="13" borderId="0" xfId="0" applyFill="1" applyAlignment="1">
      <alignment horizontal="left" vertical="center"/>
    </xf>
    <xf numFmtId="0" fontId="0" fillId="14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6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6" borderId="0" xfId="0" applyFill="1" applyAlignment="1">
      <alignment horizontal="left" vertical="center" wrapText="1"/>
    </xf>
    <xf numFmtId="0" fontId="0" fillId="14" borderId="0" xfId="0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/>
    <xf numFmtId="164" fontId="1" fillId="4" borderId="0" xfId="0" applyNumberFormat="1" applyFont="1" applyFill="1"/>
    <xf numFmtId="164" fontId="1" fillId="2" borderId="0" xfId="0" applyNumberFormat="1" applyFont="1" applyFill="1"/>
    <xf numFmtId="0" fontId="0" fillId="0" borderId="0" xfId="0" applyFill="1" applyAlignment="1">
      <alignment horizontal="left" vertical="center" wrapText="1"/>
    </xf>
    <xf numFmtId="165" fontId="0" fillId="2" borderId="0" xfId="0" applyNumberFormat="1" applyFill="1" applyAlignment="1">
      <alignment horizontal="center"/>
    </xf>
    <xf numFmtId="0" fontId="0" fillId="15" borderId="0" xfId="0" applyFill="1"/>
    <xf numFmtId="165" fontId="0" fillId="15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165" fontId="0" fillId="5" borderId="2" xfId="0" applyNumberForma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left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255" justifyLastLine="0" shrinkToFit="0" mergeCell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7C80"/>
      <color rgb="FF08C80D"/>
      <color rgb="FFFF33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4.1686467317713582E-2"/>
          <c:y val="2.8196875390576179E-2"/>
          <c:w val="0.9223732558250155"/>
          <c:h val="0.94360624921884761"/>
        </c:manualLayout>
      </c:layout>
      <c:scatterChart>
        <c:scatterStyle val="lineMarker"/>
        <c:ser>
          <c:idx val="0"/>
          <c:order val="0"/>
          <c:tx>
            <c:strRef>
              <c:f>Fuel!$B$158</c:f>
              <c:strCache>
                <c:ptCount val="1"/>
                <c:pt idx="0">
                  <c:v>воздух </c:v>
                </c:pt>
              </c:strCache>
            </c:strRef>
          </c:tx>
          <c:xVal>
            <c:numRef>
              <c:f>Fuel!$B$159:$B$183</c:f>
              <c:numCache>
                <c:formatCode>0.0</c:formatCode>
                <c:ptCount val="25"/>
                <c:pt idx="0">
                  <c:v>-1483.8137132000002</c:v>
                </c:pt>
                <c:pt idx="1">
                  <c:v>0</c:v>
                </c:pt>
                <c:pt idx="2">
                  <c:v>1483.8137132000002</c:v>
                </c:pt>
                <c:pt idx="3">
                  <c:v>2985.5181720000005</c:v>
                </c:pt>
                <c:pt idx="4">
                  <c:v>4506.2315480000007</c:v>
                </c:pt>
                <c:pt idx="5">
                  <c:v>6060.4900720000005</c:v>
                </c:pt>
                <c:pt idx="6">
                  <c:v>7659.4754600000015</c:v>
                </c:pt>
                <c:pt idx="7">
                  <c:v>9280.8242800000007</c:v>
                </c:pt>
                <c:pt idx="8">
                  <c:v>10946.899964000002</c:v>
                </c:pt>
                <c:pt idx="9">
                  <c:v>12624.157364000002</c:v>
                </c:pt>
                <c:pt idx="10">
                  <c:v>14346.141628000001</c:v>
                </c:pt>
                <c:pt idx="11">
                  <c:v>16079.307608000003</c:v>
                </c:pt>
                <c:pt idx="12">
                  <c:v>17834.837020000003</c:v>
                </c:pt>
                <c:pt idx="13">
                  <c:v>19612.729864000004</c:v>
                </c:pt>
                <c:pt idx="14">
                  <c:v>21401.804424000002</c:v>
                </c:pt>
                <c:pt idx="15">
                  <c:v>23213.242416000005</c:v>
                </c:pt>
                <c:pt idx="16">
                  <c:v>25035.862124000003</c:v>
                </c:pt>
                <c:pt idx="17">
                  <c:v>26869.663548000004</c:v>
                </c:pt>
                <c:pt idx="18">
                  <c:v>28703.464972000005</c:v>
                </c:pt>
                <c:pt idx="19">
                  <c:v>30548.448112000005</c:v>
                </c:pt>
                <c:pt idx="20">
                  <c:v>32415.794684000004</c:v>
                </c:pt>
                <c:pt idx="21">
                  <c:v>34283.141256000003</c:v>
                </c:pt>
                <c:pt idx="22">
                  <c:v>36161.669544000004</c:v>
                </c:pt>
                <c:pt idx="23">
                  <c:v>38040.197832000005</c:v>
                </c:pt>
                <c:pt idx="24">
                  <c:v>39929.907836000006</c:v>
                </c:pt>
              </c:numCache>
            </c:numRef>
          </c:xVal>
          <c:yVal>
            <c:numRef>
              <c:f>Fuel!$A$159:$A$183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1"/>
          <c:order val="1"/>
          <c:tx>
            <c:strRef>
              <c:f>Fuel!$C$158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Fuel!$C$159:$C$183</c:f>
              <c:numCache>
                <c:formatCode>0.0</c:formatCode>
                <c:ptCount val="25"/>
                <c:pt idx="0">
                  <c:v>-1724.8544947178004</c:v>
                </c:pt>
                <c:pt idx="1">
                  <c:v>0</c:v>
                </c:pt>
                <c:pt idx="2">
                  <c:v>1724.8544947178004</c:v>
                </c:pt>
                <c:pt idx="3">
                  <c:v>3484.6716028304008</c:v>
                </c:pt>
                <c:pt idx="4">
                  <c:v>5294.5689477388014</c:v>
                </c:pt>
                <c:pt idx="5">
                  <c:v>7144.2044864376021</c:v>
                </c:pt>
                <c:pt idx="6">
                  <c:v>9047.2138158220023</c:v>
                </c:pt>
                <c:pt idx="7">
                  <c:v>10999.951010264402</c:v>
                </c:pt>
                <c:pt idx="8">
                  <c:v>13001.075195392405</c:v>
                </c:pt>
                <c:pt idx="9">
                  <c:v>15038.103299938404</c:v>
                </c:pt>
                <c:pt idx="10">
                  <c:v>17125.917620797605</c:v>
                </c:pt>
                <c:pt idx="11">
                  <c:v>19247.142461074804</c:v>
                </c:pt>
                <c:pt idx="12">
                  <c:v>21389.310820770006</c:v>
                </c:pt>
                <c:pt idx="13">
                  <c:v>23569.766254243208</c:v>
                </c:pt>
                <c:pt idx="14">
                  <c:v>25710.441642014408</c:v>
                </c:pt>
                <c:pt idx="15">
                  <c:v>27931.50527178841</c:v>
                </c:pt>
                <c:pt idx="16">
                  <c:v>30175.895575340408</c:v>
                </c:pt>
                <c:pt idx="17">
                  <c:v>32438.81410141521</c:v>
                </c:pt>
                <c:pt idx="18">
                  <c:v>34730.25052128041</c:v>
                </c:pt>
                <c:pt idx="19">
                  <c:v>37028.978792400812</c:v>
                </c:pt>
                <c:pt idx="20">
                  <c:v>39334.90474040401</c:v>
                </c:pt>
                <c:pt idx="21">
                  <c:v>41660.511436557608</c:v>
                </c:pt>
                <c:pt idx="22">
                  <c:v>43998.601203978811</c:v>
                </c:pt>
                <c:pt idx="23">
                  <c:v>46341.489422655213</c:v>
                </c:pt>
                <c:pt idx="24">
                  <c:v>48699.259938226816</c:v>
                </c:pt>
              </c:numCache>
            </c:numRef>
          </c:xVal>
          <c:yVal>
            <c:numRef>
              <c:f>Fuel!$A$159:$A$183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2"/>
          <c:order val="2"/>
          <c:tx>
            <c:strRef>
              <c:f>Fuel!$D$158</c:f>
              <c:strCache>
                <c:ptCount val="1"/>
                <c:pt idx="0">
                  <c:v>1,2</c:v>
                </c:pt>
              </c:strCache>
            </c:strRef>
          </c:tx>
          <c:xVal>
            <c:numRef>
              <c:f>Fuel!$D$159:$D$183</c:f>
              <c:numCache>
                <c:formatCode>0.0</c:formatCode>
                <c:ptCount val="25"/>
                <c:pt idx="0">
                  <c:v>-2021.6172373578004</c:v>
                </c:pt>
                <c:pt idx="1">
                  <c:v>0</c:v>
                </c:pt>
                <c:pt idx="2">
                  <c:v>2021.6172373578004</c:v>
                </c:pt>
                <c:pt idx="3">
                  <c:v>4081.7752372304008</c:v>
                </c:pt>
                <c:pt idx="4">
                  <c:v>6195.8152573388015</c:v>
                </c:pt>
                <c:pt idx="5">
                  <c:v>8356.3025008376026</c:v>
                </c:pt>
                <c:pt idx="6">
                  <c:v>10579.108907822003</c:v>
                </c:pt>
                <c:pt idx="7">
                  <c:v>12856.115866264401</c:v>
                </c:pt>
                <c:pt idx="8">
                  <c:v>15190.455188192405</c:v>
                </c:pt>
                <c:pt idx="9">
                  <c:v>17562.934772738405</c:v>
                </c:pt>
                <c:pt idx="10">
                  <c:v>19995.145946397606</c:v>
                </c:pt>
                <c:pt idx="11">
                  <c:v>22463.003982674803</c:v>
                </c:pt>
                <c:pt idx="12">
                  <c:v>24956.278224770005</c:v>
                </c:pt>
                <c:pt idx="13">
                  <c:v>27492.312227043207</c:v>
                </c:pt>
                <c:pt idx="14">
                  <c:v>29990.802526814408</c:v>
                </c:pt>
                <c:pt idx="15">
                  <c:v>32574.153754988409</c:v>
                </c:pt>
                <c:pt idx="16">
                  <c:v>35183.068000140411</c:v>
                </c:pt>
                <c:pt idx="17">
                  <c:v>37812.746811015211</c:v>
                </c:pt>
                <c:pt idx="18">
                  <c:v>40470.94351568041</c:v>
                </c:pt>
                <c:pt idx="19">
                  <c:v>43138.668414800813</c:v>
                </c:pt>
                <c:pt idx="20">
                  <c:v>45818.063677204009</c:v>
                </c:pt>
                <c:pt idx="21">
                  <c:v>48517.139687757604</c:v>
                </c:pt>
                <c:pt idx="22">
                  <c:v>51230.93511277881</c:v>
                </c:pt>
                <c:pt idx="23">
                  <c:v>53949.528989055216</c:v>
                </c:pt>
                <c:pt idx="24">
                  <c:v>56685.241505426813</c:v>
                </c:pt>
              </c:numCache>
            </c:numRef>
          </c:xVal>
          <c:yVal>
            <c:numRef>
              <c:f>Fuel!$A$159:$A$183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axId val="113872256"/>
        <c:axId val="112854144"/>
      </c:scatterChart>
      <c:valAx>
        <c:axId val="113872256"/>
        <c:scaling>
          <c:orientation val="minMax"/>
        </c:scaling>
        <c:axPos val="b"/>
        <c:numFmt formatCode="0.0" sourceLinked="1"/>
        <c:tickLblPos val="nextTo"/>
        <c:crossAx val="112854144"/>
        <c:crosses val="autoZero"/>
        <c:crossBetween val="midCat"/>
      </c:valAx>
      <c:valAx>
        <c:axId val="112854144"/>
        <c:scaling>
          <c:orientation val="minMax"/>
        </c:scaling>
        <c:axPos val="l"/>
        <c:majorGridlines/>
        <c:numFmt formatCode="General" sourceLinked="1"/>
        <c:tickLblPos val="nextTo"/>
        <c:crossAx val="113872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385475978960045"/>
          <c:y val="0.54539842519685033"/>
          <c:w val="9.0600493155128248E-2"/>
          <c:h val="0.19872695913010874"/>
        </c:manualLayout>
      </c:layout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4.1686467317713582E-2"/>
          <c:y val="2.8196875390576179E-2"/>
          <c:w val="0.9223732558250155"/>
          <c:h val="0.94360624921884761"/>
        </c:manualLayout>
      </c:layout>
      <c:scatterChart>
        <c:scatterStyle val="lineMarker"/>
        <c:ser>
          <c:idx val="0"/>
          <c:order val="0"/>
          <c:tx>
            <c:strRef>
              <c:f>Fuel!$B$193</c:f>
              <c:strCache>
                <c:ptCount val="1"/>
                <c:pt idx="0">
                  <c:v>воздух </c:v>
                </c:pt>
              </c:strCache>
            </c:strRef>
          </c:tx>
          <c:xVal>
            <c:numRef>
              <c:f>Fuel!$B$194:$B$218</c:f>
              <c:numCache>
                <c:formatCode>0.0</c:formatCode>
                <c:ptCount val="25"/>
                <c:pt idx="0">
                  <c:v>-1396.0498293814433</c:v>
                </c:pt>
                <c:pt idx="1">
                  <c:v>0</c:v>
                </c:pt>
                <c:pt idx="2">
                  <c:v>1396.0498293814433</c:v>
                </c:pt>
                <c:pt idx="3">
                  <c:v>2808.9322113402063</c:v>
                </c:pt>
                <c:pt idx="4">
                  <c:v>4239.6991804123718</c:v>
                </c:pt>
                <c:pt idx="5">
                  <c:v>5702.0271855670107</c:v>
                </c:pt>
                <c:pt idx="6">
                  <c:v>7206.4365721649492</c:v>
                </c:pt>
                <c:pt idx="7">
                  <c:v>8731.886649484537</c:v>
                </c:pt>
                <c:pt idx="8">
                  <c:v>10299.418108247424</c:v>
                </c:pt>
                <c:pt idx="9">
                  <c:v>11877.469912371134</c:v>
                </c:pt>
                <c:pt idx="10">
                  <c:v>13497.603097938145</c:v>
                </c:pt>
                <c:pt idx="11">
                  <c:v>15128.25662886598</c:v>
                </c:pt>
                <c:pt idx="12">
                  <c:v>16779.950850515466</c:v>
                </c:pt>
                <c:pt idx="13">
                  <c:v>18452.685762886598</c:v>
                </c:pt>
                <c:pt idx="14">
                  <c:v>20135.94102061856</c:v>
                </c:pt>
                <c:pt idx="15">
                  <c:v>21840.236969072168</c:v>
                </c:pt>
                <c:pt idx="16">
                  <c:v>23555.053262886599</c:v>
                </c:pt>
                <c:pt idx="17">
                  <c:v>25280.389902061859</c:v>
                </c:pt>
                <c:pt idx="18">
                  <c:v>27005.726541237116</c:v>
                </c:pt>
                <c:pt idx="19">
                  <c:v>28741.5835257732</c:v>
                </c:pt>
                <c:pt idx="20">
                  <c:v>30498.481201030932</c:v>
                </c:pt>
                <c:pt idx="21">
                  <c:v>32255.378876288662</c:v>
                </c:pt>
                <c:pt idx="22">
                  <c:v>34022.796896907217</c:v>
                </c:pt>
                <c:pt idx="23">
                  <c:v>35790.21491752578</c:v>
                </c:pt>
                <c:pt idx="24">
                  <c:v>37568.153283505155</c:v>
                </c:pt>
              </c:numCache>
            </c:numRef>
          </c:xVal>
          <c:yVal>
            <c:numRef>
              <c:f>Fuel!$A$194:$A$218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1"/>
          <c:order val="1"/>
          <c:tx>
            <c:strRef>
              <c:f>Fuel!$C$193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Fuel!$C$194:$C$218</c:f>
              <c:numCache>
                <c:formatCode>0.0</c:formatCode>
                <c:ptCount val="25"/>
                <c:pt idx="0">
                  <c:v>-1613.255937257818</c:v>
                </c:pt>
                <c:pt idx="1">
                  <c:v>0</c:v>
                </c:pt>
                <c:pt idx="2">
                  <c:v>1613.255937257818</c:v>
                </c:pt>
                <c:pt idx="3">
                  <c:v>3265.0713724749139</c:v>
                </c:pt>
                <c:pt idx="4">
                  <c:v>4967.4039978115125</c:v>
                </c:pt>
                <c:pt idx="5">
                  <c:v>6709.2881519116845</c:v>
                </c:pt>
                <c:pt idx="6">
                  <c:v>8502.4152022500002</c:v>
                </c:pt>
                <c:pt idx="7">
                  <c:v>10343.47812212526</c:v>
                </c:pt>
                <c:pt idx="8">
                  <c:v>12229.316420712888</c:v>
                </c:pt>
                <c:pt idx="9">
                  <c:v>14148.311998476634</c:v>
                </c:pt>
                <c:pt idx="10">
                  <c:v>16113.773102272511</c:v>
                </c:pt>
                <c:pt idx="11">
                  <c:v>18109.157726481615</c:v>
                </c:pt>
                <c:pt idx="12">
                  <c:v>20118.297077289521</c:v>
                </c:pt>
                <c:pt idx="13">
                  <c:v>22166.83454887148</c:v>
                </c:pt>
                <c:pt idx="14">
                  <c:v>24175.573199423372</c:v>
                </c:pt>
                <c:pt idx="15">
                  <c:v>26259.104633377839</c:v>
                </c:pt>
                <c:pt idx="16">
                  <c:v>28362.631635529036</c:v>
                </c:pt>
                <c:pt idx="17">
                  <c:v>30482.773911237462</c:v>
                </c:pt>
                <c:pt idx="18">
                  <c:v>32627.915801276467</c:v>
                </c:pt>
                <c:pt idx="19">
                  <c:v>34779.671744717874</c:v>
                </c:pt>
                <c:pt idx="20">
                  <c:v>36936.498130118562</c:v>
                </c:pt>
                <c:pt idx="21">
                  <c:v>39110.013057014781</c:v>
                </c:pt>
                <c:pt idx="22">
                  <c:v>41295.146083447253</c:v>
                </c:pt>
                <c:pt idx="23">
                  <c:v>43483.659404519254</c:v>
                </c:pt>
                <c:pt idx="24">
                  <c:v>45685.480972447258</c:v>
                </c:pt>
              </c:numCache>
            </c:numRef>
          </c:xVal>
          <c:yVal>
            <c:numRef>
              <c:f>Fuel!$A$194:$A$218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2"/>
          <c:order val="2"/>
          <c:tx>
            <c:strRef>
              <c:f>Fuel!$D$193</c:f>
              <c:strCache>
                <c:ptCount val="1"/>
                <c:pt idx="0">
                  <c:v>1,2</c:v>
                </c:pt>
              </c:strCache>
            </c:strRef>
          </c:tx>
          <c:xVal>
            <c:numRef>
              <c:f>Fuel!$D$194:$D$218</c:f>
              <c:numCache>
                <c:formatCode>0.0</c:formatCode>
                <c:ptCount val="25"/>
                <c:pt idx="0">
                  <c:v>-1892.4659031341066</c:v>
                </c:pt>
                <c:pt idx="1">
                  <c:v>0</c:v>
                </c:pt>
                <c:pt idx="2">
                  <c:v>1892.4659031341066</c:v>
                </c:pt>
                <c:pt idx="3">
                  <c:v>3826.8578147429553</c:v>
                </c:pt>
                <c:pt idx="4">
                  <c:v>5815.3438338939868</c:v>
                </c:pt>
                <c:pt idx="5">
                  <c:v>7849.6935890250861</c:v>
                </c:pt>
                <c:pt idx="6">
                  <c:v>9943.7025166829899</c:v>
                </c:pt>
                <c:pt idx="7">
                  <c:v>12089.855452022166</c:v>
                </c:pt>
                <c:pt idx="8">
                  <c:v>14289.200042362372</c:v>
                </c:pt>
                <c:pt idx="9">
                  <c:v>16523.80598095086</c:v>
                </c:pt>
                <c:pt idx="10">
                  <c:v>18813.29372186014</c:v>
                </c:pt>
                <c:pt idx="11">
                  <c:v>21134.809052254812</c:v>
                </c:pt>
                <c:pt idx="12">
                  <c:v>23474.287247392615</c:v>
                </c:pt>
                <c:pt idx="13">
                  <c:v>25857.371701448799</c:v>
                </c:pt>
                <c:pt idx="14">
                  <c:v>28202.761403547083</c:v>
                </c:pt>
                <c:pt idx="15">
                  <c:v>30627.152027192271</c:v>
                </c:pt>
                <c:pt idx="16">
                  <c:v>33073.642288106355</c:v>
                </c:pt>
                <c:pt idx="17">
                  <c:v>35538.851891649829</c:v>
                </c:pt>
                <c:pt idx="18">
                  <c:v>38029.061109523886</c:v>
                </c:pt>
                <c:pt idx="19">
                  <c:v>40527.988449872515</c:v>
                </c:pt>
                <c:pt idx="20">
                  <c:v>43036.194370324745</c:v>
                </c:pt>
                <c:pt idx="21">
                  <c:v>45561.088832272515</c:v>
                </c:pt>
                <c:pt idx="22">
                  <c:v>48099.705462828693</c:v>
                </c:pt>
                <c:pt idx="23">
                  <c:v>50641.702388024409</c:v>
                </c:pt>
                <c:pt idx="24">
                  <c:v>53199.11162914829</c:v>
                </c:pt>
              </c:numCache>
            </c:numRef>
          </c:xVal>
          <c:yVal>
            <c:numRef>
              <c:f>Fuel!$A$194:$A$218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axId val="112891776"/>
        <c:axId val="112893312"/>
      </c:scatterChart>
      <c:valAx>
        <c:axId val="112891776"/>
        <c:scaling>
          <c:orientation val="minMax"/>
        </c:scaling>
        <c:axPos val="b"/>
        <c:numFmt formatCode="0.0" sourceLinked="1"/>
        <c:tickLblPos val="nextTo"/>
        <c:crossAx val="112893312"/>
        <c:crosses val="autoZero"/>
        <c:crossBetween val="midCat"/>
      </c:valAx>
      <c:valAx>
        <c:axId val="112893312"/>
        <c:scaling>
          <c:orientation val="minMax"/>
        </c:scaling>
        <c:axPos val="l"/>
        <c:majorGridlines/>
        <c:numFmt formatCode="General" sourceLinked="1"/>
        <c:tickLblPos val="nextTo"/>
        <c:crossAx val="112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385475978960045"/>
          <c:y val="0.54539842519685033"/>
          <c:w val="9.0600493155128248E-2"/>
          <c:h val="0.19872695913010874"/>
        </c:manualLayout>
      </c:layout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lineMarker"/>
        <c:ser>
          <c:idx val="0"/>
          <c:order val="0"/>
          <c:tx>
            <c:v>Teta г</c:v>
          </c:tx>
          <c:xVal>
            <c:numRef>
              <c:f>'Расчет печи 1'!$C$481:$F$481</c:f>
              <c:numCache>
                <c:formatCode>0.0</c:formatCode>
                <c:ptCount val="4"/>
                <c:pt idx="0">
                  <c:v>7664.9465829179862</c:v>
                </c:pt>
                <c:pt idx="1">
                  <c:v>15642.612664135579</c:v>
                </c:pt>
                <c:pt idx="2">
                  <c:v>20796.274957303307</c:v>
                </c:pt>
                <c:pt idx="3">
                  <c:v>42699.111493925928</c:v>
                </c:pt>
              </c:numCache>
            </c:numRef>
          </c:xVal>
          <c:yVal>
            <c:numRef>
              <c:f>'Расчет печи 1'!$C$482:$F$482</c:f>
              <c:numCache>
                <c:formatCode>0.0</c:formatCode>
                <c:ptCount val="4"/>
                <c:pt idx="0">
                  <c:v>368</c:v>
                </c:pt>
                <c:pt idx="1">
                  <c:v>719.05843484970171</c:v>
                </c:pt>
                <c:pt idx="2">
                  <c:v>932.4625241456032</c:v>
                </c:pt>
                <c:pt idx="3">
                  <c:v>1783.523154092095</c:v>
                </c:pt>
              </c:numCache>
            </c:numRef>
          </c:yVal>
        </c:ser>
        <c:ser>
          <c:idx val="1"/>
          <c:order val="1"/>
          <c:tx>
            <c:v>t пр</c:v>
          </c:tx>
          <c:xVal>
            <c:numRef>
              <c:f>'Расчет печи 1'!$C$481:$F$481</c:f>
              <c:numCache>
                <c:formatCode>0.0</c:formatCode>
                <c:ptCount val="4"/>
                <c:pt idx="0">
                  <c:v>7664.9465829179862</c:v>
                </c:pt>
                <c:pt idx="1">
                  <c:v>15642.612664135579</c:v>
                </c:pt>
                <c:pt idx="2">
                  <c:v>20796.274957303307</c:v>
                </c:pt>
                <c:pt idx="3">
                  <c:v>42699.111493925928</c:v>
                </c:pt>
              </c:numCache>
            </c:numRef>
          </c:xVal>
          <c:yVal>
            <c:numRef>
              <c:f>'Расчет печи 1'!$C$483:$F$483</c:f>
              <c:numCache>
                <c:formatCode>0.0</c:formatCode>
                <c:ptCount val="4"/>
                <c:pt idx="0" formatCode="General">
                  <c:v>231.7</c:v>
                </c:pt>
                <c:pt idx="1">
                  <c:v>263.41919338438186</c:v>
                </c:pt>
                <c:pt idx="2">
                  <c:v>283.56948206167192</c:v>
                </c:pt>
                <c:pt idx="3" formatCode="General">
                  <c:v>347</c:v>
                </c:pt>
              </c:numCache>
            </c:numRef>
          </c:yVal>
        </c:ser>
        <c:axId val="122396672"/>
        <c:axId val="122398208"/>
      </c:scatterChart>
      <c:valAx>
        <c:axId val="122396672"/>
        <c:scaling>
          <c:orientation val="maxMin"/>
        </c:scaling>
        <c:axPos val="b"/>
        <c:numFmt formatCode="0.0" sourceLinked="1"/>
        <c:majorTickMark val="in"/>
        <c:minorTickMark val="in"/>
        <c:tickLblPos val="nextTo"/>
        <c:crossAx val="122398208"/>
        <c:crosses val="autoZero"/>
        <c:crossBetween val="midCat"/>
      </c:valAx>
      <c:valAx>
        <c:axId val="122398208"/>
        <c:scaling>
          <c:orientation val="minMax"/>
        </c:scaling>
        <c:axPos val="r"/>
        <c:majorGridlines/>
        <c:numFmt formatCode="0.0" sourceLinked="1"/>
        <c:tickLblPos val="nextTo"/>
        <c:crossAx val="12239667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57900077351791968"/>
          <c:y val="6.2946097255084502E-2"/>
          <c:w val="9.1921346355122863E-2"/>
          <c:h val="0.11877118808424809"/>
        </c:manualLayout>
      </c:layout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295274</xdr:colOff>
      <xdr:row>157</xdr:row>
      <xdr:rowOff>180975</xdr:rowOff>
    </xdr:from>
    <xdr:to>
      <xdr:col>23</xdr:col>
      <xdr:colOff>590550</xdr:colOff>
      <xdr:row>182</xdr:row>
      <xdr:rowOff>190500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323850</xdr:colOff>
      <xdr:row>191</xdr:row>
      <xdr:rowOff>152400</xdr:rowOff>
    </xdr:from>
    <xdr:to>
      <xdr:col>24</xdr:col>
      <xdr:colOff>9526</xdr:colOff>
      <xdr:row>216</xdr:row>
      <xdr:rowOff>171450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485</xdr:row>
      <xdr:rowOff>133350</xdr:rowOff>
    </xdr:from>
    <xdr:to>
      <xdr:col>6</xdr:col>
      <xdr:colOff>590549</xdr:colOff>
      <xdr:row>506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245</xdr:row>
      <xdr:rowOff>57150</xdr:rowOff>
    </xdr:from>
    <xdr:to>
      <xdr:col>3</xdr:col>
      <xdr:colOff>734268</xdr:colOff>
      <xdr:row>247</xdr:row>
      <xdr:rowOff>97491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1301650"/>
          <a:ext cx="5734893" cy="42134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38100</xdr:colOff>
      <xdr:row>248</xdr:row>
      <xdr:rowOff>80079</xdr:rowOff>
    </xdr:from>
    <xdr:to>
      <xdr:col>3</xdr:col>
      <xdr:colOff>116542</xdr:colOff>
      <xdr:row>256</xdr:row>
      <xdr:rowOff>46504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51896079"/>
          <a:ext cx="5079067" cy="1490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189</xdr:row>
      <xdr:rowOff>28575</xdr:rowOff>
    </xdr:from>
    <xdr:to>
      <xdr:col>4</xdr:col>
      <xdr:colOff>161661</xdr:colOff>
      <xdr:row>215</xdr:row>
      <xdr:rowOff>133349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1938575"/>
          <a:ext cx="6000486" cy="505777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191</xdr:row>
      <xdr:rowOff>28575</xdr:rowOff>
    </xdr:from>
    <xdr:to>
      <xdr:col>4</xdr:col>
      <xdr:colOff>161661</xdr:colOff>
      <xdr:row>217</xdr:row>
      <xdr:rowOff>133349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0224075"/>
          <a:ext cx="6000486" cy="505777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191</xdr:row>
      <xdr:rowOff>28575</xdr:rowOff>
    </xdr:from>
    <xdr:to>
      <xdr:col>4</xdr:col>
      <xdr:colOff>161661</xdr:colOff>
      <xdr:row>217</xdr:row>
      <xdr:rowOff>133349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1938575"/>
          <a:ext cx="6000486" cy="505777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ables/table1.xml><?xml version="1.0" encoding="utf-8"?>
<table xmlns="http://schemas.openxmlformats.org/spreadsheetml/2006/main" id="2" name="Таблица2" displayName="Таблица2" ref="A1:B45" totalsRowShown="0">
  <autoFilter ref="A1:B45"/>
  <tableColumns count="2">
    <tableColumn id="1" name="Имя в программе"/>
    <tableColumn id="2" name="Наименование и описание 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2:D33" totalsRowShown="0" headerRowDxfId="11" dataDxfId="10">
  <autoFilter ref="A2:D33"/>
  <tableColumns count="4">
    <tableColumn id="1" name="Позиция" dataDxfId="9"/>
    <tableColumn id="2" name="Материал" dataDxfId="8"/>
    <tableColumn id="3" name="Масса" dataDxfId="7"/>
    <tableColumn id="4" name="Размерность" dataDxfId="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B45"/>
  <sheetViews>
    <sheetView workbookViewId="0">
      <selection activeCell="B2" sqref="B2"/>
    </sheetView>
  </sheetViews>
  <sheetFormatPr defaultRowHeight="15"/>
  <cols>
    <col min="1" max="1" width="35.28515625" customWidth="1"/>
    <col min="2" max="2" width="62.42578125" bestFit="1" customWidth="1"/>
  </cols>
  <sheetData>
    <row r="1" spans="1:2">
      <c r="A1" t="s">
        <v>11</v>
      </c>
      <c r="B1" t="s">
        <v>12</v>
      </c>
    </row>
    <row r="2" spans="1:2">
      <c r="A2" t="s">
        <v>13</v>
      </c>
      <c r="B2" t="s">
        <v>14</v>
      </c>
    </row>
    <row r="3" spans="1:2">
      <c r="A3" t="s">
        <v>15</v>
      </c>
    </row>
    <row r="4" spans="1:2">
      <c r="A4" t="s">
        <v>16</v>
      </c>
    </row>
    <row r="5" spans="1:2">
      <c r="A5" t="s">
        <v>17</v>
      </c>
    </row>
    <row r="6" spans="1:2">
      <c r="A6" t="s">
        <v>18</v>
      </c>
    </row>
    <row r="7" spans="1:2">
      <c r="A7" t="s">
        <v>19</v>
      </c>
    </row>
    <row r="8" spans="1:2">
      <c r="A8" t="s">
        <v>20</v>
      </c>
    </row>
    <row r="9" spans="1:2">
      <c r="A9" t="s">
        <v>21</v>
      </c>
    </row>
    <row r="10" spans="1:2">
      <c r="A10" t="s">
        <v>22</v>
      </c>
    </row>
    <row r="11" spans="1:2">
      <c r="A11" t="s">
        <v>23</v>
      </c>
    </row>
    <row r="12" spans="1:2">
      <c r="A12" t="s">
        <v>24</v>
      </c>
    </row>
    <row r="13" spans="1:2">
      <c r="A13" t="s">
        <v>25</v>
      </c>
    </row>
    <row r="14" spans="1:2">
      <c r="A14" t="s">
        <v>26</v>
      </c>
    </row>
    <row r="15" spans="1:2">
      <c r="A15" t="s">
        <v>27</v>
      </c>
    </row>
    <row r="16" spans="1:2">
      <c r="A16" t="s">
        <v>28</v>
      </c>
    </row>
    <row r="17" spans="1:2">
      <c r="A17" t="s">
        <v>29</v>
      </c>
    </row>
    <row r="18" spans="1:2">
      <c r="A18" t="s">
        <v>30</v>
      </c>
    </row>
    <row r="19" spans="1:2">
      <c r="A19" t="s">
        <v>31</v>
      </c>
    </row>
    <row r="20" spans="1:2">
      <c r="A20" t="s">
        <v>32</v>
      </c>
    </row>
    <row r="21" spans="1:2">
      <c r="A21" t="s">
        <v>33</v>
      </c>
    </row>
    <row r="22" spans="1:2">
      <c r="A22" s="6" t="s">
        <v>36</v>
      </c>
    </row>
    <row r="23" spans="1:2">
      <c r="A23" t="s">
        <v>34</v>
      </c>
    </row>
    <row r="24" spans="1:2">
      <c r="A24" t="s">
        <v>35</v>
      </c>
    </row>
    <row r="25" spans="1:2">
      <c r="A25" t="s">
        <v>37</v>
      </c>
    </row>
    <row r="26" spans="1:2">
      <c r="A26" t="s">
        <v>38</v>
      </c>
    </row>
    <row r="27" spans="1:2">
      <c r="A27" t="s">
        <v>39</v>
      </c>
    </row>
    <row r="28" spans="1:2">
      <c r="A28" t="s">
        <v>40</v>
      </c>
    </row>
    <row r="29" spans="1:2">
      <c r="A29" t="s">
        <v>41</v>
      </c>
    </row>
    <row r="30" spans="1:2">
      <c r="A30" t="s">
        <v>42</v>
      </c>
      <c r="B30" s="5"/>
    </row>
    <row r="31" spans="1:2">
      <c r="A31" t="s">
        <v>43</v>
      </c>
    </row>
    <row r="32" spans="1:2">
      <c r="A32" t="s">
        <v>44</v>
      </c>
    </row>
    <row r="33" spans="1:2">
      <c r="A33" t="s">
        <v>45</v>
      </c>
    </row>
    <row r="45" spans="1:2">
      <c r="A45" s="5"/>
      <c r="B45" s="5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B36"/>
  <sheetViews>
    <sheetView workbookViewId="0">
      <selection activeCell="A29" sqref="A29"/>
    </sheetView>
  </sheetViews>
  <sheetFormatPr defaultRowHeight="15"/>
  <cols>
    <col min="1" max="1" width="49.28515625" bestFit="1" customWidth="1"/>
    <col min="2" max="2" width="7" bestFit="1" customWidth="1"/>
  </cols>
  <sheetData>
    <row r="1" spans="1:2">
      <c r="A1" t="s">
        <v>1</v>
      </c>
    </row>
    <row r="3" spans="1:2">
      <c r="A3" t="s">
        <v>4</v>
      </c>
      <c r="B3">
        <v>0.55000000000000004</v>
      </c>
    </row>
    <row r="4" spans="1:2">
      <c r="A4" t="s">
        <v>5</v>
      </c>
      <c r="B4" s="4">
        <v>0.6</v>
      </c>
    </row>
    <row r="5" spans="1:2">
      <c r="A5" t="s">
        <v>2</v>
      </c>
      <c r="B5" s="1">
        <v>28000</v>
      </c>
    </row>
    <row r="6" spans="1:2">
      <c r="A6" t="s">
        <v>3</v>
      </c>
      <c r="B6" s="1">
        <v>35000</v>
      </c>
    </row>
    <row r="7" spans="1:2">
      <c r="A7" t="s">
        <v>0</v>
      </c>
      <c r="B7" s="4">
        <f>f_b_001_f_01_Phi3(B5,B6)</f>
        <v>0.8</v>
      </c>
    </row>
    <row r="8" spans="1:2">
      <c r="A8" t="s">
        <v>6</v>
      </c>
      <c r="B8">
        <f>f_b_001_f_02_EtaN(B3,B4,B7)</f>
        <v>0.26400000000000001</v>
      </c>
    </row>
    <row r="9" spans="1:2">
      <c r="A9" t="s">
        <v>9</v>
      </c>
      <c r="B9">
        <v>12</v>
      </c>
    </row>
    <row r="10" spans="1:2">
      <c r="A10" t="s">
        <v>10</v>
      </c>
      <c r="B10">
        <v>15</v>
      </c>
    </row>
    <row r="11" spans="1:2">
      <c r="A11" t="s">
        <v>7</v>
      </c>
      <c r="B11" s="3">
        <f>f_b_001_f_03_EtaER(B9,B10,B8)</f>
        <v>0.2112</v>
      </c>
    </row>
    <row r="12" spans="1:2">
      <c r="A12" t="s">
        <v>8</v>
      </c>
      <c r="B12" s="2">
        <f>f_b_001_f_04_DzetaR(B11)</f>
        <v>4.7348484848484853</v>
      </c>
    </row>
    <row r="15" spans="1:2">
      <c r="A15" t="s">
        <v>282</v>
      </c>
      <c r="B15" s="1">
        <v>400</v>
      </c>
    </row>
    <row r="16" spans="1:2">
      <c r="A16" t="s">
        <v>283</v>
      </c>
      <c r="B16" s="1">
        <v>31500</v>
      </c>
    </row>
    <row r="18" spans="1:2">
      <c r="A18" t="s">
        <v>285</v>
      </c>
      <c r="B18" s="65">
        <f>f_b_004_f_06_TetaFH2Graf(B16,B15)</f>
        <v>812.26397248495266</v>
      </c>
    </row>
    <row r="19" spans="1:2">
      <c r="A19" s="7" t="s">
        <v>284</v>
      </c>
      <c r="B19">
        <v>1</v>
      </c>
    </row>
    <row r="20" spans="1:2">
      <c r="A20" s="7" t="s">
        <v>286</v>
      </c>
      <c r="B20" s="65">
        <f>f_b_004_f_04_MuFHrad(B19,B18)</f>
        <v>0.56062273430782461</v>
      </c>
    </row>
    <row r="21" spans="1:2">
      <c r="A21" s="7" t="s">
        <v>288</v>
      </c>
      <c r="B21" s="1">
        <v>5</v>
      </c>
    </row>
    <row r="22" spans="1:2" ht="30">
      <c r="A22" s="7" t="s">
        <v>289</v>
      </c>
      <c r="B22" s="68">
        <v>3</v>
      </c>
    </row>
    <row r="23" spans="1:2">
      <c r="A23" s="7" t="s">
        <v>290</v>
      </c>
      <c r="B23" s="1">
        <v>40</v>
      </c>
    </row>
    <row r="24" spans="1:2">
      <c r="A24" s="7" t="s">
        <v>287</v>
      </c>
      <c r="B24" s="65">
        <f>B21+B23</f>
        <v>45</v>
      </c>
    </row>
    <row r="25" spans="1:2">
      <c r="A25" s="7" t="s">
        <v>291</v>
      </c>
      <c r="B25" s="65">
        <f>f_b_004_f_05_KPDFH(B19,B24)</f>
        <v>85.1</v>
      </c>
    </row>
    <row r="26" spans="1:2">
      <c r="A26" s="7"/>
    </row>
    <row r="27" spans="1:2">
      <c r="A27" s="7"/>
    </row>
    <row r="28" spans="1:2">
      <c r="A28" s="7"/>
    </row>
    <row r="29" spans="1:2">
      <c r="A29" s="7"/>
    </row>
    <row r="30" spans="1:2">
      <c r="A30" s="7"/>
    </row>
    <row r="31" spans="1:2">
      <c r="A31" s="7"/>
    </row>
    <row r="32" spans="1:2">
      <c r="A32" s="7"/>
    </row>
    <row r="33" spans="1:1">
      <c r="A33" s="7"/>
    </row>
    <row r="34" spans="1:1">
      <c r="A34" s="7"/>
    </row>
    <row r="35" spans="1:1">
      <c r="A35" s="7"/>
    </row>
    <row r="36" spans="1:1">
      <c r="A36" s="7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E20"/>
  <sheetViews>
    <sheetView topLeftCell="A4" workbookViewId="0">
      <selection activeCell="J17" sqref="J17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5">
      <c r="A1" s="17" t="s">
        <v>119</v>
      </c>
      <c r="B1" s="197" t="s">
        <v>118</v>
      </c>
      <c r="C1" s="19" t="s">
        <v>120</v>
      </c>
    </row>
    <row r="2" spans="1:5">
      <c r="A2" s="17"/>
      <c r="B2" s="197"/>
      <c r="C2" s="19"/>
    </row>
    <row r="3" spans="1:5">
      <c r="A3" s="17"/>
      <c r="B3" s="197"/>
      <c r="C3" s="19"/>
    </row>
    <row r="4" spans="1:5">
      <c r="A4" s="17"/>
      <c r="B4" s="197"/>
      <c r="C4" s="19"/>
    </row>
    <row r="5" spans="1:5">
      <c r="A5" s="17"/>
      <c r="B5" s="197"/>
      <c r="C5" s="19"/>
    </row>
    <row r="6" spans="1:5">
      <c r="A6" s="17"/>
      <c r="B6" s="197"/>
      <c r="C6" s="19"/>
    </row>
    <row r="7" spans="1:5" ht="45">
      <c r="A7" s="17" t="s">
        <v>1003</v>
      </c>
      <c r="B7" s="197"/>
      <c r="C7" s="19"/>
    </row>
    <row r="8" spans="1:5">
      <c r="A8" s="17"/>
      <c r="B8" s="197"/>
      <c r="C8" s="19"/>
    </row>
    <row r="9" spans="1:5" ht="30">
      <c r="A9" s="7" t="s">
        <v>903</v>
      </c>
      <c r="C9" s="102">
        <v>1</v>
      </c>
    </row>
    <row r="10" spans="1:5">
      <c r="A10" s="7"/>
      <c r="C10" s="20"/>
    </row>
    <row r="11" spans="1:5">
      <c r="A11" s="17" t="s">
        <v>146</v>
      </c>
      <c r="C11" s="20"/>
    </row>
    <row r="12" spans="1:5">
      <c r="A12" s="17"/>
      <c r="C12" s="20"/>
      <c r="E12">
        <f>f_b_002_f_08_SrRast(7.3,219,155,1.5,20)</f>
        <v>0.36795145228852438</v>
      </c>
    </row>
    <row r="13" spans="1:5" ht="30">
      <c r="A13" s="7" t="s">
        <v>117</v>
      </c>
      <c r="B13" t="s">
        <v>121</v>
      </c>
      <c r="C13" s="20">
        <v>1</v>
      </c>
    </row>
    <row r="14" spans="1:5">
      <c r="A14" s="7"/>
      <c r="C14" s="20"/>
    </row>
    <row r="15" spans="1:5" ht="30">
      <c r="A15" s="7" t="s">
        <v>150</v>
      </c>
      <c r="C15" s="20">
        <v>1</v>
      </c>
    </row>
    <row r="16" spans="1:5">
      <c r="A16" s="7"/>
      <c r="C16" s="20"/>
    </row>
    <row r="17" spans="1:3">
      <c r="A17" s="7" t="s">
        <v>147</v>
      </c>
      <c r="B17" t="s">
        <v>125</v>
      </c>
      <c r="C17" s="102">
        <v>6</v>
      </c>
    </row>
    <row r="18" spans="1:3">
      <c r="A18" s="7" t="s">
        <v>503</v>
      </c>
      <c r="C18" s="102">
        <v>6</v>
      </c>
    </row>
    <row r="19" spans="1:3">
      <c r="A19" s="7" t="s">
        <v>497</v>
      </c>
      <c r="C19" s="130">
        <f>Fuel!B79</f>
        <v>1.1499999999999999</v>
      </c>
    </row>
    <row r="20" spans="1:3">
      <c r="A20" s="7" t="s">
        <v>498</v>
      </c>
      <c r="C20" s="130">
        <f>Fuel!B75</f>
        <v>0.05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4:Y56"/>
  <sheetViews>
    <sheetView zoomScaleNormal="100" workbookViewId="0">
      <selection activeCell="AA36" sqref="AA36"/>
    </sheetView>
  </sheetViews>
  <sheetFormatPr defaultRowHeight="15"/>
  <cols>
    <col min="1" max="1" width="43.5703125" bestFit="1" customWidth="1"/>
    <col min="5" max="5" width="3.85546875" bestFit="1" customWidth="1"/>
    <col min="6" max="7" width="2" bestFit="1" customWidth="1"/>
    <col min="8" max="8" width="3.85546875" bestFit="1" customWidth="1"/>
    <col min="17" max="17" width="3.85546875" bestFit="1" customWidth="1"/>
    <col min="18" max="19" width="2" bestFit="1" customWidth="1"/>
    <col min="20" max="20" width="3.85546875" bestFit="1" customWidth="1"/>
  </cols>
  <sheetData>
    <row r="4" spans="1:3">
      <c r="A4" t="s">
        <v>116</v>
      </c>
      <c r="B4" s="1">
        <v>258400</v>
      </c>
      <c r="C4" t="s">
        <v>95</v>
      </c>
    </row>
    <row r="5" spans="1:3">
      <c r="B5" s="9">
        <f>G_mass/3600</f>
        <v>71.777777777777771</v>
      </c>
      <c r="C5" t="s">
        <v>96</v>
      </c>
    </row>
    <row r="7" spans="1:3">
      <c r="A7" t="s">
        <v>97</v>
      </c>
      <c r="B7" s="1">
        <v>180</v>
      </c>
      <c r="C7" t="s">
        <v>98</v>
      </c>
    </row>
    <row r="8" spans="1:3">
      <c r="A8" t="s">
        <v>99</v>
      </c>
      <c r="B8" s="1">
        <v>0.6</v>
      </c>
      <c r="C8" t="s">
        <v>100</v>
      </c>
    </row>
    <row r="9" spans="1:3">
      <c r="A9" t="s">
        <v>101</v>
      </c>
      <c r="B9" s="10">
        <v>860</v>
      </c>
      <c r="C9" t="s">
        <v>102</v>
      </c>
    </row>
    <row r="11" spans="1:3">
      <c r="A11" t="s">
        <v>103</v>
      </c>
      <c r="B11" s="1">
        <v>0.5</v>
      </c>
      <c r="C11" t="s">
        <v>104</v>
      </c>
    </row>
    <row r="12" spans="1:3">
      <c r="A12" t="s">
        <v>105</v>
      </c>
      <c r="B12" s="1">
        <v>3</v>
      </c>
      <c r="C12" t="s">
        <v>104</v>
      </c>
    </row>
    <row r="14" spans="1:3">
      <c r="A14" t="s">
        <v>106</v>
      </c>
      <c r="B14" s="1">
        <v>196.3</v>
      </c>
      <c r="C14" t="s">
        <v>107</v>
      </c>
    </row>
    <row r="15" spans="1:3">
      <c r="A15" t="s">
        <v>108</v>
      </c>
      <c r="B15" s="1">
        <v>1562</v>
      </c>
      <c r="C15" t="s">
        <v>107</v>
      </c>
    </row>
    <row r="18" spans="4:25">
      <c r="D18" s="242" t="s">
        <v>109</v>
      </c>
      <c r="E18" s="242"/>
      <c r="F18" s="242"/>
      <c r="G18" s="242"/>
      <c r="H18" s="242"/>
      <c r="I18" s="242"/>
      <c r="J18" s="242"/>
      <c r="K18" s="242"/>
      <c r="L18" s="242"/>
      <c r="M18" s="242"/>
      <c r="P18" s="242" t="s">
        <v>110</v>
      </c>
      <c r="Q18" s="242"/>
      <c r="R18" s="242"/>
      <c r="S18" s="242"/>
      <c r="T18" s="242"/>
      <c r="U18" s="242"/>
      <c r="V18" s="242"/>
      <c r="W18" s="242"/>
      <c r="X18" s="242"/>
      <c r="Y18" s="242"/>
    </row>
    <row r="19" spans="4:25">
      <c r="D19" s="242" t="s">
        <v>111</v>
      </c>
      <c r="E19" s="242"/>
      <c r="F19" s="242"/>
      <c r="G19" s="242"/>
      <c r="H19" s="242"/>
      <c r="I19" s="242" t="s">
        <v>112</v>
      </c>
      <c r="J19" s="242"/>
      <c r="K19" s="242"/>
      <c r="L19" s="242"/>
      <c r="M19" s="242"/>
      <c r="P19" s="242" t="s">
        <v>111</v>
      </c>
      <c r="Q19" s="242"/>
      <c r="R19" s="242"/>
      <c r="S19" s="242"/>
      <c r="T19" s="242"/>
      <c r="U19" s="242" t="s">
        <v>112</v>
      </c>
      <c r="V19" s="242"/>
      <c r="W19" s="242"/>
      <c r="X19" s="242"/>
      <c r="Y19" s="242"/>
    </row>
    <row r="20" spans="4:25">
      <c r="D20" s="242"/>
      <c r="E20" s="242"/>
      <c r="F20" s="242"/>
      <c r="G20" s="242"/>
      <c r="H20" s="242"/>
      <c r="I20" s="11">
        <v>1</v>
      </c>
      <c r="J20" s="11">
        <v>2</v>
      </c>
      <c r="K20" s="11">
        <v>4</v>
      </c>
      <c r="L20" s="11">
        <v>6</v>
      </c>
      <c r="M20" s="11">
        <v>8</v>
      </c>
      <c r="P20" s="242"/>
      <c r="Q20" s="242"/>
      <c r="R20" s="242"/>
      <c r="S20" s="242"/>
      <c r="T20" s="242"/>
      <c r="U20" s="12">
        <v>1</v>
      </c>
      <c r="V20" s="12">
        <v>2</v>
      </c>
      <c r="W20" s="12">
        <v>4</v>
      </c>
      <c r="X20" s="12">
        <v>6</v>
      </c>
      <c r="Y20" s="12">
        <v>8</v>
      </c>
    </row>
    <row r="21" spans="4:25">
      <c r="D21">
        <v>45</v>
      </c>
      <c r="E21" t="s">
        <v>113</v>
      </c>
      <c r="F21" t="s">
        <v>114</v>
      </c>
      <c r="G21">
        <v>5</v>
      </c>
      <c r="H21" t="s">
        <v>113</v>
      </c>
      <c r="I21" s="9">
        <f t="shared" ref="I21:I36" si="0">G_mass/3600/ro_Pr/U21</f>
        <v>86.749221736952492</v>
      </c>
      <c r="J21" s="9">
        <f t="shared" ref="J21:J36" si="1">G_mass/3600/ro_Pr/V21</f>
        <v>43.374610868476246</v>
      </c>
      <c r="K21" s="9">
        <f t="shared" ref="K21:K36" si="2">G_mass/3600/ro_Pr/W21</f>
        <v>21.687305434238123</v>
      </c>
      <c r="L21" s="9">
        <f t="shared" ref="L21:L36" si="3">G_mass/3600/ro_Pr/X21</f>
        <v>14.458203622825415</v>
      </c>
      <c r="M21" s="9">
        <f t="shared" ref="M21:M36" si="4">G_mass/3600/ro_Pr/Y21</f>
        <v>10.843652717119062</v>
      </c>
      <c r="P21">
        <v>45</v>
      </c>
      <c r="Q21" t="s">
        <v>113</v>
      </c>
      <c r="R21" t="s">
        <v>114</v>
      </c>
      <c r="S21">
        <v>5</v>
      </c>
      <c r="T21" t="s">
        <v>113</v>
      </c>
      <c r="U21" s="13">
        <f>((P21-2*S21)/1000)^2*PI()/4*U20</f>
        <v>9.6211275016187424E-4</v>
      </c>
      <c r="V21" s="13">
        <f>((P21-2*S21)/1000)^2*PI()/4*V20</f>
        <v>1.9242255003237485E-3</v>
      </c>
      <c r="W21" s="13">
        <f>((P21-2*S21)/1000)^2*PI()/4*W20</f>
        <v>3.8484510006474969E-3</v>
      </c>
      <c r="X21" s="13">
        <f>((P21-2*S21)/1000)^2*PI()/4*X20</f>
        <v>5.7726765009712454E-3</v>
      </c>
      <c r="Y21" s="13">
        <f>((P21-2*S21)/1000)^2*PI()/4*Y20</f>
        <v>7.6969020012949939E-3</v>
      </c>
    </row>
    <row r="22" spans="4:25">
      <c r="D22" s="6">
        <v>57</v>
      </c>
      <c r="E22" t="s">
        <v>113</v>
      </c>
      <c r="F22" t="s">
        <v>114</v>
      </c>
      <c r="G22">
        <v>5</v>
      </c>
      <c r="H22" t="s">
        <v>113</v>
      </c>
      <c r="I22" s="9">
        <f t="shared" si="0"/>
        <v>48.106743606956456</v>
      </c>
      <c r="J22" s="9">
        <f t="shared" si="1"/>
        <v>24.053371803478228</v>
      </c>
      <c r="K22" s="9">
        <f t="shared" si="2"/>
        <v>12.026685901739114</v>
      </c>
      <c r="L22" s="9">
        <f t="shared" si="3"/>
        <v>8.01779060115941</v>
      </c>
      <c r="M22" s="9">
        <f t="shared" si="4"/>
        <v>6.0133429508695571</v>
      </c>
      <c r="P22" s="6">
        <v>57</v>
      </c>
      <c r="Q22" t="s">
        <v>113</v>
      </c>
      <c r="R22" t="s">
        <v>114</v>
      </c>
      <c r="S22">
        <v>5</v>
      </c>
      <c r="T22" t="s">
        <v>113</v>
      </c>
      <c r="U22" s="13">
        <f>((P22-2*S22)/1000)^2*PI()/4*U20</f>
        <v>1.7349445429449633E-3</v>
      </c>
      <c r="V22" s="13">
        <f>((P22-2*S22)/1000)^2*PI()/4*V20</f>
        <v>3.4698890858899266E-3</v>
      </c>
      <c r="W22" s="13">
        <f>((P22-2*S22)/1000)^2*PI()/4*W20</f>
        <v>6.9397781717798531E-3</v>
      </c>
      <c r="X22" s="13">
        <f>((P22-2*S22)/1000)^2*PI()/4*X20</f>
        <v>1.0409667257669779E-2</v>
      </c>
      <c r="Y22" s="13">
        <f>((P22-2*S22)/1000)^2*PI()/4*Y20</f>
        <v>1.3879556343559706E-2</v>
      </c>
    </row>
    <row r="23" spans="4:25">
      <c r="D23" s="6">
        <v>76</v>
      </c>
      <c r="E23" t="s">
        <v>113</v>
      </c>
      <c r="F23" t="s">
        <v>114</v>
      </c>
      <c r="G23">
        <v>5</v>
      </c>
      <c r="H23" t="s">
        <v>113</v>
      </c>
      <c r="I23" s="9">
        <f t="shared" si="0"/>
        <v>24.395729253389991</v>
      </c>
      <c r="J23" s="9">
        <f t="shared" si="1"/>
        <v>12.197864626694995</v>
      </c>
      <c r="K23" s="9">
        <f t="shared" si="2"/>
        <v>6.0989323133474977</v>
      </c>
      <c r="L23" s="9">
        <f t="shared" si="3"/>
        <v>4.0659548755649988</v>
      </c>
      <c r="M23" s="9">
        <f t="shared" si="4"/>
        <v>3.0494661566737489</v>
      </c>
      <c r="P23" s="6">
        <v>76</v>
      </c>
      <c r="Q23" t="s">
        <v>113</v>
      </c>
      <c r="R23" t="s">
        <v>114</v>
      </c>
      <c r="S23">
        <v>5</v>
      </c>
      <c r="T23" t="s">
        <v>113</v>
      </c>
      <c r="U23" s="13">
        <f>((P23-2*S23)/1000)^2*PI()/4*U20</f>
        <v>3.4211943997592849E-3</v>
      </c>
      <c r="V23" s="13">
        <f>((P23-2*S23)/1000)^2*PI()/4*V20</f>
        <v>6.8423887995185699E-3</v>
      </c>
      <c r="W23" s="13">
        <f>((P23-2*S23)/1000)^2*PI()/4*W20</f>
        <v>1.368477759903714E-2</v>
      </c>
      <c r="X23" s="13">
        <f>((P23-2*S23)/1000)^2*PI()/4*X20</f>
        <v>2.0527166398555709E-2</v>
      </c>
      <c r="Y23" s="13">
        <f>((P23-2*S23)/1000)^2*PI()/4*Y20</f>
        <v>2.7369555198074279E-2</v>
      </c>
    </row>
    <row r="24" spans="4:25">
      <c r="D24" s="14">
        <v>89</v>
      </c>
      <c r="E24" t="s">
        <v>113</v>
      </c>
      <c r="F24" t="s">
        <v>114</v>
      </c>
      <c r="G24">
        <v>5</v>
      </c>
      <c r="H24" t="s">
        <v>113</v>
      </c>
      <c r="I24" s="9">
        <f t="shared" si="0"/>
        <v>17.027366868733665</v>
      </c>
      <c r="J24" s="9">
        <f t="shared" si="1"/>
        <v>8.5136834343668326</v>
      </c>
      <c r="K24" s="9">
        <f t="shared" si="2"/>
        <v>4.2568417171834163</v>
      </c>
      <c r="L24" s="9">
        <f t="shared" si="3"/>
        <v>2.8378944781222781</v>
      </c>
      <c r="M24" s="9">
        <f t="shared" si="4"/>
        <v>2.1284208585917082</v>
      </c>
      <c r="P24" s="6">
        <v>89</v>
      </c>
      <c r="Q24" t="s">
        <v>113</v>
      </c>
      <c r="R24" t="s">
        <v>114</v>
      </c>
      <c r="S24">
        <v>5</v>
      </c>
      <c r="T24" t="s">
        <v>113</v>
      </c>
      <c r="U24" s="13">
        <f>((P24-2*S24)/1000)^2*PI()/4*U20</f>
        <v>4.9016699377634745E-3</v>
      </c>
      <c r="V24" s="13">
        <f>((P24-2*S24)/1000)^2*PI()/4*V20</f>
        <v>9.803339875526949E-3</v>
      </c>
      <c r="W24" s="13">
        <f>((P24-2*S24)/1000)^2*PI()/4*W20</f>
        <v>1.9606679751053898E-2</v>
      </c>
      <c r="X24" s="13">
        <f>((P24-2*S24)/1000)^2*PI()/4*X20</f>
        <v>2.9410019626580845E-2</v>
      </c>
      <c r="Y24" s="13">
        <f>((P24-2*S24)/1000)^2*PI()/4*Y20</f>
        <v>3.9213359502107796E-2</v>
      </c>
    </row>
    <row r="25" spans="4:25">
      <c r="D25" s="6">
        <v>102</v>
      </c>
      <c r="E25" t="s">
        <v>113</v>
      </c>
      <c r="F25" t="s">
        <v>114</v>
      </c>
      <c r="G25">
        <v>5</v>
      </c>
      <c r="H25" t="s">
        <v>113</v>
      </c>
      <c r="I25" s="9">
        <f t="shared" si="0"/>
        <v>12.555268977760729</v>
      </c>
      <c r="J25" s="9">
        <f t="shared" si="1"/>
        <v>6.2776344888803646</v>
      </c>
      <c r="K25" s="9">
        <f t="shared" si="2"/>
        <v>3.1388172444401823</v>
      </c>
      <c r="L25" s="9">
        <f t="shared" si="3"/>
        <v>2.0925448296267883</v>
      </c>
      <c r="M25" s="9">
        <f t="shared" si="4"/>
        <v>1.5694086222200911</v>
      </c>
      <c r="P25" s="6">
        <v>102</v>
      </c>
      <c r="Q25" t="s">
        <v>113</v>
      </c>
      <c r="R25" t="s">
        <v>114</v>
      </c>
      <c r="S25">
        <v>5</v>
      </c>
      <c r="T25" t="s">
        <v>113</v>
      </c>
      <c r="U25" s="13">
        <f>((P25-2*S25)/1000)^2*PI()/4*U20</f>
        <v>6.6476100549960017E-3</v>
      </c>
      <c r="V25" s="13">
        <f>((P25-2*S25)/1000)^2*PI()/4*V20</f>
        <v>1.3295220109992003E-2</v>
      </c>
      <c r="W25" s="13">
        <f>((P25-2*S25)/1000)^2*PI()/4*W20</f>
        <v>2.6590440219984007E-2</v>
      </c>
      <c r="X25" s="13">
        <f>((P25-2*S25)/1000)^2*PI()/4*X20</f>
        <v>3.9885660329976008E-2</v>
      </c>
      <c r="Y25" s="13">
        <f>((P25-2*S25)/1000)^2*PI()/4*Y20</f>
        <v>5.3180880439968013E-2</v>
      </c>
    </row>
    <row r="26" spans="4:25">
      <c r="D26" s="6">
        <v>108</v>
      </c>
      <c r="E26" t="s">
        <v>113</v>
      </c>
      <c r="F26" t="s">
        <v>114</v>
      </c>
      <c r="G26">
        <v>5</v>
      </c>
      <c r="H26" t="s">
        <v>113</v>
      </c>
      <c r="I26" s="9">
        <f t="shared" si="0"/>
        <v>11.064951752162306</v>
      </c>
      <c r="J26" s="9">
        <f t="shared" si="1"/>
        <v>5.5324758760811532</v>
      </c>
      <c r="K26" s="9">
        <f t="shared" si="2"/>
        <v>2.7662379380405766</v>
      </c>
      <c r="L26" s="9">
        <f t="shared" si="3"/>
        <v>1.8441586253603846</v>
      </c>
      <c r="M26" s="9">
        <f t="shared" si="4"/>
        <v>1.3831189690202883</v>
      </c>
      <c r="P26" s="6">
        <v>108</v>
      </c>
      <c r="Q26" t="s">
        <v>113</v>
      </c>
      <c r="R26" t="s">
        <v>114</v>
      </c>
      <c r="S26">
        <v>5</v>
      </c>
      <c r="T26" t="s">
        <v>113</v>
      </c>
      <c r="U26" s="13">
        <f>((P26-2*S26)/1000)^2*PI()/4*U20</f>
        <v>7.5429639612690945E-3</v>
      </c>
      <c r="V26" s="13">
        <f>((P26-2*S26)/1000)^2*PI()/4*V20</f>
        <v>1.5085927922538189E-2</v>
      </c>
      <c r="W26" s="13">
        <f>((P26-2*S26)/1000)^2*PI()/4*W20</f>
        <v>3.0171855845076378E-2</v>
      </c>
      <c r="X26" s="13">
        <f>((P26-2*S26)/1000)^2*PI()/4*X20</f>
        <v>4.5257783767614565E-2</v>
      </c>
      <c r="Y26" s="13">
        <f>((P26-2*S26)/1000)^2*PI()/4*Y20</f>
        <v>6.0343711690152756E-2</v>
      </c>
    </row>
    <row r="27" spans="4:25">
      <c r="D27" s="6">
        <v>114</v>
      </c>
      <c r="E27" t="s">
        <v>113</v>
      </c>
      <c r="F27" t="s">
        <v>114</v>
      </c>
      <c r="G27">
        <v>6</v>
      </c>
      <c r="H27" t="s">
        <v>113</v>
      </c>
      <c r="I27" s="9">
        <f t="shared" si="0"/>
        <v>10.214128856955673</v>
      </c>
      <c r="J27" s="9">
        <f t="shared" si="1"/>
        <v>5.1070644284778366</v>
      </c>
      <c r="K27" s="9">
        <f t="shared" si="2"/>
        <v>2.5535322142389183</v>
      </c>
      <c r="L27" s="9">
        <f t="shared" si="3"/>
        <v>1.7023548094926122</v>
      </c>
      <c r="M27" s="9">
        <f t="shared" si="4"/>
        <v>1.2767661071194591</v>
      </c>
      <c r="P27" s="6">
        <v>114</v>
      </c>
      <c r="Q27" t="s">
        <v>113</v>
      </c>
      <c r="R27" t="s">
        <v>114</v>
      </c>
      <c r="S27">
        <v>6</v>
      </c>
      <c r="T27" t="s">
        <v>113</v>
      </c>
      <c r="U27" s="13">
        <f>((P27-2*S27)/1000)^2*PI()/4*U20</f>
        <v>8.1712824919870503E-3</v>
      </c>
      <c r="V27" s="13">
        <f>((P27-2*S27)/1000)^2*PI()/4*V20</f>
        <v>1.6342564983974101E-2</v>
      </c>
      <c r="W27" s="13">
        <f>((P27-2*S27)/1000)^2*PI()/4*W20</f>
        <v>3.2685129967948201E-2</v>
      </c>
      <c r="X27" s="13">
        <f>((P27-2*S27)/1000)^2*PI()/4*X20</f>
        <v>4.9027694951922302E-2</v>
      </c>
      <c r="Y27" s="13">
        <f>((P27-2*S27)/1000)^2*PI()/4*Y20</f>
        <v>6.5370259935896402E-2</v>
      </c>
    </row>
    <row r="28" spans="4:25">
      <c r="D28" s="6">
        <v>127</v>
      </c>
      <c r="E28" t="s">
        <v>113</v>
      </c>
      <c r="F28" t="s">
        <v>114</v>
      </c>
      <c r="G28">
        <v>6</v>
      </c>
      <c r="H28" t="s">
        <v>113</v>
      </c>
      <c r="I28" s="9">
        <f t="shared" si="0"/>
        <v>8.0353721457668659</v>
      </c>
      <c r="J28" s="9">
        <f t="shared" si="1"/>
        <v>4.0176860728834329</v>
      </c>
      <c r="K28" s="9">
        <f t="shared" si="2"/>
        <v>2.0088430364417165</v>
      </c>
      <c r="L28" s="9">
        <f t="shared" si="3"/>
        <v>1.3392286909611444</v>
      </c>
      <c r="M28" s="9">
        <f t="shared" si="4"/>
        <v>1.0044215182208582</v>
      </c>
      <c r="P28" s="6">
        <v>127</v>
      </c>
      <c r="Q28" t="s">
        <v>113</v>
      </c>
      <c r="R28" t="s">
        <v>114</v>
      </c>
      <c r="S28">
        <v>6</v>
      </c>
      <c r="T28" t="s">
        <v>113</v>
      </c>
      <c r="U28" s="13">
        <f>((P28-2*S28)/1000)^2*PI()/4*U20</f>
        <v>1.0386890710931254E-2</v>
      </c>
      <c r="V28" s="13">
        <f>((P28-2*S28)/1000)^2*PI()/4*V20</f>
        <v>2.0773781421862508E-2</v>
      </c>
      <c r="W28" s="13">
        <f>((P28-2*S28)/1000)^2*PI()/4*W20</f>
        <v>4.1547562843725017E-2</v>
      </c>
      <c r="X28" s="13">
        <f>((P28-2*S28)/1000)^2*PI()/4*X20</f>
        <v>6.2321344265587525E-2</v>
      </c>
      <c r="Y28" s="13">
        <f>((P28-2*S28)/1000)^2*PI()/4*Y20</f>
        <v>8.3095125687450033E-2</v>
      </c>
    </row>
    <row r="29" spans="4:25">
      <c r="D29" s="6">
        <v>152</v>
      </c>
      <c r="E29" t="s">
        <v>113</v>
      </c>
      <c r="F29" t="s">
        <v>114</v>
      </c>
      <c r="G29">
        <v>6</v>
      </c>
      <c r="H29" t="s">
        <v>113</v>
      </c>
      <c r="I29" s="9">
        <f t="shared" si="0"/>
        <v>5.4218263585595308</v>
      </c>
      <c r="J29" s="9">
        <f t="shared" si="1"/>
        <v>2.7109131792797654</v>
      </c>
      <c r="K29" s="9">
        <f t="shared" si="2"/>
        <v>1.3554565896398827</v>
      </c>
      <c r="L29" s="9">
        <f t="shared" si="3"/>
        <v>0.90363772642658846</v>
      </c>
      <c r="M29" s="9">
        <f t="shared" si="4"/>
        <v>0.67772829481994135</v>
      </c>
      <c r="P29" s="6">
        <v>152</v>
      </c>
      <c r="Q29" t="s">
        <v>113</v>
      </c>
      <c r="R29" t="s">
        <v>114</v>
      </c>
      <c r="S29">
        <v>6</v>
      </c>
      <c r="T29" t="s">
        <v>113</v>
      </c>
      <c r="U29" s="13">
        <f>((P29-2*S29)/1000)^2*PI()/4*U20</f>
        <v>1.5393804002589988E-2</v>
      </c>
      <c r="V29" s="13">
        <f>((P29-2*S29)/1000)^2*PI()/4*V20</f>
        <v>3.0787608005179976E-2</v>
      </c>
      <c r="W29" s="13">
        <f>((P29-2*S29)/1000)^2*PI()/4*W20</f>
        <v>6.1575216010359951E-2</v>
      </c>
      <c r="X29" s="13">
        <f>((P29-2*S29)/1000)^2*PI()/4*X20</f>
        <v>9.2362824015539927E-2</v>
      </c>
      <c r="Y29" s="13">
        <f>((P29-2*S29)/1000)^2*PI()/4*Y20</f>
        <v>0.1231504320207199</v>
      </c>
    </row>
    <row r="30" spans="4:25">
      <c r="D30" s="6">
        <v>159</v>
      </c>
      <c r="E30" t="s">
        <v>113</v>
      </c>
      <c r="F30" t="s">
        <v>114</v>
      </c>
      <c r="G30">
        <v>6</v>
      </c>
      <c r="H30" t="s">
        <v>113</v>
      </c>
      <c r="I30" s="9">
        <f t="shared" si="0"/>
        <v>4.91775633429436</v>
      </c>
      <c r="J30" s="9">
        <f t="shared" si="1"/>
        <v>2.45887816714718</v>
      </c>
      <c r="K30" s="9">
        <f t="shared" si="2"/>
        <v>1.22943908357359</v>
      </c>
      <c r="L30" s="9">
        <f t="shared" si="3"/>
        <v>0.81962605571572666</v>
      </c>
      <c r="M30" s="9">
        <f t="shared" si="4"/>
        <v>0.614719541786795</v>
      </c>
      <c r="P30" s="6">
        <v>159</v>
      </c>
      <c r="Q30" t="s">
        <v>113</v>
      </c>
      <c r="R30" t="s">
        <v>114</v>
      </c>
      <c r="S30">
        <v>6</v>
      </c>
      <c r="T30" t="s">
        <v>113</v>
      </c>
      <c r="U30" s="13">
        <f>((P30-2*S30)/1000)^2*PI()/4*U20</f>
        <v>1.6971668912855457E-2</v>
      </c>
      <c r="V30" s="13">
        <f>((P30-2*S30)/1000)^2*PI()/4*V20</f>
        <v>3.3943337825710913E-2</v>
      </c>
      <c r="W30" s="13">
        <f>((P30-2*S30)/1000)^2*PI()/4*W20</f>
        <v>6.7886675651421827E-2</v>
      </c>
      <c r="X30" s="13">
        <f>((P30-2*S30)/1000)^2*PI()/4*X20</f>
        <v>0.10183001347713275</v>
      </c>
      <c r="Y30" s="13">
        <f>((P30-2*S30)/1000)^2*PI()/4*Y20</f>
        <v>0.13577335130284365</v>
      </c>
    </row>
    <row r="31" spans="4:25">
      <c r="D31" s="6">
        <v>168</v>
      </c>
      <c r="E31" t="s">
        <v>113</v>
      </c>
      <c r="F31" t="s">
        <v>114</v>
      </c>
      <c r="G31">
        <v>6</v>
      </c>
      <c r="H31" t="s">
        <v>113</v>
      </c>
      <c r="I31" s="9">
        <f t="shared" si="0"/>
        <v>4.3666911829292738</v>
      </c>
      <c r="J31" s="9">
        <f t="shared" si="1"/>
        <v>2.1833455914646369</v>
      </c>
      <c r="K31" s="9">
        <f t="shared" si="2"/>
        <v>1.0916727957323185</v>
      </c>
      <c r="L31" s="9">
        <f t="shared" si="3"/>
        <v>0.72778186382154564</v>
      </c>
      <c r="M31" s="9">
        <f t="shared" si="4"/>
        <v>0.54583639786615923</v>
      </c>
      <c r="P31" s="6">
        <v>168</v>
      </c>
      <c r="Q31" t="s">
        <v>113</v>
      </c>
      <c r="R31" t="s">
        <v>114</v>
      </c>
      <c r="S31">
        <v>6</v>
      </c>
      <c r="T31" t="s">
        <v>113</v>
      </c>
      <c r="U31" s="13">
        <f>((P31-2*S31)/1000)^2*PI()/4*U20</f>
        <v>1.9113449704440302E-2</v>
      </c>
      <c r="V31" s="13">
        <f>((P31-2*S31)/1000)^2*PI()/4*V20</f>
        <v>3.8226899408880605E-2</v>
      </c>
      <c r="W31" s="13">
        <f>((P31-2*S31)/1000)^2*PI()/4*W20</f>
        <v>7.6453798817761209E-2</v>
      </c>
      <c r="X31" s="13">
        <f>((P31-2*S31)/1000)^2*PI()/4*X20</f>
        <v>0.11468069822664181</v>
      </c>
      <c r="Y31" s="13">
        <f>((P31-2*S31)/1000)^2*PI()/4*Y20</f>
        <v>0.15290759763552242</v>
      </c>
    </row>
    <row r="32" spans="4:25">
      <c r="D32" s="6">
        <v>219</v>
      </c>
      <c r="E32" t="s">
        <v>113</v>
      </c>
      <c r="F32" t="s">
        <v>114</v>
      </c>
      <c r="G32">
        <v>7</v>
      </c>
      <c r="H32" t="s">
        <v>113</v>
      </c>
      <c r="I32" s="9">
        <f t="shared" si="0"/>
        <v>2.5286804670497758</v>
      </c>
      <c r="J32" s="9">
        <f t="shared" si="1"/>
        <v>1.2643402335248879</v>
      </c>
      <c r="K32" s="9">
        <f t="shared" si="2"/>
        <v>0.63217011676244395</v>
      </c>
      <c r="L32" s="9">
        <f t="shared" si="3"/>
        <v>0.421446744508296</v>
      </c>
      <c r="M32" s="9">
        <f t="shared" si="4"/>
        <v>0.31608505838122197</v>
      </c>
      <c r="P32" s="6">
        <v>219</v>
      </c>
      <c r="Q32" t="s">
        <v>113</v>
      </c>
      <c r="R32" t="s">
        <v>114</v>
      </c>
      <c r="S32">
        <v>7</v>
      </c>
      <c r="T32" t="s">
        <v>113</v>
      </c>
      <c r="U32" s="13">
        <f>((P32-2*S32)/1000)^2*PI()/4*U20</f>
        <v>3.3006357816777757E-2</v>
      </c>
      <c r="V32" s="13">
        <f>((P32-2*S32)/1000)^2*PI()/4*V20</f>
        <v>6.6012715633555513E-2</v>
      </c>
      <c r="W32" s="13">
        <f>((P32-2*S32)/1000)^2*PI()/4*W20</f>
        <v>0.13202543126711103</v>
      </c>
      <c r="X32" s="13">
        <f>((P32-2*S32)/1000)^2*PI()/4*X20</f>
        <v>0.19803814690066654</v>
      </c>
      <c r="Y32" s="13">
        <f>((P32-2*S32)/1000)^2*PI()/4*Y20</f>
        <v>0.26405086253422205</v>
      </c>
    </row>
    <row r="33" spans="4:25">
      <c r="D33" s="6">
        <v>273</v>
      </c>
      <c r="E33" t="s">
        <v>113</v>
      </c>
      <c r="F33" t="s">
        <v>114</v>
      </c>
      <c r="G33">
        <v>8</v>
      </c>
      <c r="H33" t="s">
        <v>113</v>
      </c>
      <c r="I33" s="9">
        <f t="shared" si="0"/>
        <v>1.6089236268189799</v>
      </c>
      <c r="J33" s="9">
        <f t="shared" si="1"/>
        <v>0.80446181340948997</v>
      </c>
      <c r="K33" s="9">
        <f t="shared" si="2"/>
        <v>0.40223090670474498</v>
      </c>
      <c r="L33" s="9">
        <f t="shared" si="3"/>
        <v>0.26815393780316332</v>
      </c>
      <c r="M33" s="9">
        <f t="shared" si="4"/>
        <v>0.20111545335237249</v>
      </c>
      <c r="P33" s="6">
        <v>273</v>
      </c>
      <c r="Q33" t="s">
        <v>113</v>
      </c>
      <c r="R33" t="s">
        <v>114</v>
      </c>
      <c r="S33">
        <v>8</v>
      </c>
      <c r="T33" t="s">
        <v>113</v>
      </c>
      <c r="U33" s="13">
        <f>((P33-2*S33)/1000)^2*PI()/4*U20</f>
        <v>5.1874763294238062E-2</v>
      </c>
      <c r="V33" s="13">
        <f>((P33-2*S33)/1000)^2*PI()/4*V20</f>
        <v>0.10374952658847612</v>
      </c>
      <c r="W33" s="13">
        <f>((P33-2*S33)/1000)^2*PI()/4*W20</f>
        <v>0.20749905317695225</v>
      </c>
      <c r="X33" s="13">
        <f>((P33-2*S33)/1000)^2*PI()/4*X20</f>
        <v>0.31124857976542836</v>
      </c>
      <c r="Y33" s="13">
        <f>((P33-2*S33)/1000)^2*PI()/4*Y20</f>
        <v>0.41499810635390449</v>
      </c>
    </row>
    <row r="34" spans="4:25">
      <c r="D34">
        <v>325</v>
      </c>
      <c r="E34" t="s">
        <v>113</v>
      </c>
      <c r="F34" t="s">
        <v>114</v>
      </c>
      <c r="G34">
        <v>8</v>
      </c>
      <c r="H34" t="s">
        <v>113</v>
      </c>
      <c r="I34" s="9">
        <f t="shared" si="0"/>
        <v>1.1129732263776753</v>
      </c>
      <c r="J34" s="9">
        <f t="shared" si="1"/>
        <v>0.55648661318883763</v>
      </c>
      <c r="K34" s="9">
        <f t="shared" si="2"/>
        <v>0.27824330659441882</v>
      </c>
      <c r="L34" s="9">
        <f t="shared" si="3"/>
        <v>0.18549553772961253</v>
      </c>
      <c r="M34" s="9">
        <f t="shared" si="4"/>
        <v>0.13912165329720941</v>
      </c>
      <c r="P34">
        <v>325</v>
      </c>
      <c r="Q34" t="s">
        <v>113</v>
      </c>
      <c r="R34" t="s">
        <v>114</v>
      </c>
      <c r="S34">
        <v>8</v>
      </c>
      <c r="T34" t="s">
        <v>113</v>
      </c>
      <c r="U34" s="13">
        <f>((P34-2*S34)/1000)^2*PI()/4*U20</f>
        <v>7.4990602039351761E-2</v>
      </c>
      <c r="V34" s="13">
        <f>((P34-2*S34)/1000)^2*PI()/4*V20</f>
        <v>0.14998120407870352</v>
      </c>
      <c r="W34" s="13">
        <f>((P34-2*S34)/1000)^2*PI()/4*W20</f>
        <v>0.29996240815740705</v>
      </c>
      <c r="X34" s="13">
        <f>((P34-2*S34)/1000)^2*PI()/4*X20</f>
        <v>0.44994361223611057</v>
      </c>
      <c r="Y34" s="13">
        <f>((P34-2*S34)/1000)^2*PI()/4*Y20</f>
        <v>0.59992481631481409</v>
      </c>
    </row>
    <row r="35" spans="4:25">
      <c r="D35">
        <v>377</v>
      </c>
      <c r="E35" t="s">
        <v>113</v>
      </c>
      <c r="F35" t="s">
        <v>114</v>
      </c>
      <c r="G35">
        <v>8</v>
      </c>
      <c r="H35" t="s">
        <v>113</v>
      </c>
      <c r="I35" s="9">
        <f t="shared" si="0"/>
        <v>0.81543110187741663</v>
      </c>
      <c r="J35" s="9">
        <f t="shared" si="1"/>
        <v>0.40771555093870832</v>
      </c>
      <c r="K35" s="9">
        <f t="shared" si="2"/>
        <v>0.20385777546935416</v>
      </c>
      <c r="L35" s="9">
        <f t="shared" si="3"/>
        <v>0.13590518364623611</v>
      </c>
      <c r="M35" s="9">
        <f t="shared" si="4"/>
        <v>0.10192888773467708</v>
      </c>
      <c r="P35">
        <v>377</v>
      </c>
      <c r="Q35" t="s">
        <v>113</v>
      </c>
      <c r="R35" t="s">
        <v>114</v>
      </c>
      <c r="S35">
        <v>8</v>
      </c>
      <c r="T35" t="s">
        <v>113</v>
      </c>
      <c r="U35" s="13">
        <f>((P35-2*S35)/1000)^2*PI()/4*U20</f>
        <v>0.10235387405211885</v>
      </c>
      <c r="V35" s="13">
        <f>((P35-2*S35)/1000)^2*PI()/4*V20</f>
        <v>0.2047077481042377</v>
      </c>
      <c r="W35" s="13">
        <f>((P35-2*S35)/1000)^2*PI()/4*W20</f>
        <v>0.40941549620847539</v>
      </c>
      <c r="X35" s="13">
        <f>((P35-2*S35)/1000)^2*PI()/4*X20</f>
        <v>0.61412324431271315</v>
      </c>
      <c r="Y35" s="13">
        <f>((P35-2*S35)/1000)^2*PI()/4*Y20</f>
        <v>0.81883099241695079</v>
      </c>
    </row>
    <row r="36" spans="4:25">
      <c r="D36">
        <v>426</v>
      </c>
      <c r="E36" t="s">
        <v>113</v>
      </c>
      <c r="F36" t="s">
        <v>114</v>
      </c>
      <c r="G36">
        <v>8</v>
      </c>
      <c r="H36" t="s">
        <v>113</v>
      </c>
      <c r="I36" s="9">
        <f t="shared" si="0"/>
        <v>0.63217011676244395</v>
      </c>
      <c r="J36" s="9">
        <f t="shared" si="1"/>
        <v>0.31608505838122197</v>
      </c>
      <c r="K36" s="9">
        <f t="shared" si="2"/>
        <v>0.15804252919061099</v>
      </c>
      <c r="L36" s="9">
        <f t="shared" si="3"/>
        <v>0.105361686127074</v>
      </c>
      <c r="M36" s="9">
        <f t="shared" si="4"/>
        <v>7.9021264595305493E-2</v>
      </c>
      <c r="P36">
        <v>426</v>
      </c>
      <c r="Q36" t="s">
        <v>113</v>
      </c>
      <c r="R36" t="s">
        <v>114</v>
      </c>
      <c r="S36">
        <v>8</v>
      </c>
      <c r="T36" t="s">
        <v>113</v>
      </c>
      <c r="U36" s="13">
        <f>((P36-2*S36)/1000)^2*PI()/4*U20</f>
        <v>0.13202543126711103</v>
      </c>
      <c r="V36" s="13">
        <f>((P36-2*S36)/1000)^2*PI()/4*V20</f>
        <v>0.26405086253422205</v>
      </c>
      <c r="W36" s="13">
        <f>((P36-2*S36)/1000)^2*PI()/4*W20</f>
        <v>0.52810172506844411</v>
      </c>
      <c r="X36" s="13">
        <f>((P36-2*S36)/1000)^2*PI()/4*X20</f>
        <v>0.79215258760266616</v>
      </c>
      <c r="Y36" s="13">
        <f>((P36-2*S36)/1000)^2*PI()/4*Y20</f>
        <v>1.0562034501368882</v>
      </c>
    </row>
    <row r="38" spans="4:25">
      <c r="D38" s="15"/>
      <c r="E38" s="15"/>
      <c r="F38" s="15"/>
      <c r="G38" s="15"/>
      <c r="H38" s="15"/>
      <c r="I38" s="242" t="s">
        <v>115</v>
      </c>
      <c r="J38" s="242"/>
      <c r="K38" s="242"/>
      <c r="L38" s="242"/>
      <c r="M38" s="242"/>
      <c r="P38" s="242" t="s">
        <v>110</v>
      </c>
      <c r="Q38" s="242"/>
      <c r="R38" s="242"/>
      <c r="S38" s="242"/>
      <c r="T38" s="242"/>
      <c r="U38" s="242"/>
      <c r="V38" s="242"/>
      <c r="W38" s="242"/>
      <c r="X38" s="242"/>
      <c r="Y38" s="242"/>
    </row>
    <row r="39" spans="4:25">
      <c r="D39" s="242" t="s">
        <v>111</v>
      </c>
      <c r="E39" s="242"/>
      <c r="F39" s="242"/>
      <c r="G39" s="242"/>
      <c r="H39" s="242"/>
      <c r="I39" s="242" t="s">
        <v>112</v>
      </c>
      <c r="J39" s="242"/>
      <c r="K39" s="242"/>
      <c r="L39" s="242"/>
      <c r="M39" s="242"/>
      <c r="P39" s="242" t="s">
        <v>111</v>
      </c>
      <c r="Q39" s="242"/>
      <c r="R39" s="242"/>
      <c r="S39" s="242"/>
      <c r="T39" s="242"/>
      <c r="U39" s="242" t="s">
        <v>112</v>
      </c>
      <c r="V39" s="242"/>
      <c r="W39" s="242"/>
      <c r="X39" s="242"/>
      <c r="Y39" s="242"/>
    </row>
    <row r="40" spans="4:25">
      <c r="D40" s="242"/>
      <c r="E40" s="242"/>
      <c r="F40" s="242"/>
      <c r="G40" s="242"/>
      <c r="H40" s="242"/>
      <c r="I40" s="11">
        <v>1</v>
      </c>
      <c r="J40" s="11">
        <v>2</v>
      </c>
      <c r="K40" s="11">
        <v>4</v>
      </c>
      <c r="L40" s="11">
        <v>6</v>
      </c>
      <c r="M40" s="11">
        <v>8</v>
      </c>
      <c r="P40" s="242"/>
      <c r="Q40" s="242"/>
      <c r="R40" s="242"/>
      <c r="S40" s="242"/>
      <c r="T40" s="242"/>
      <c r="U40" s="11">
        <v>1</v>
      </c>
      <c r="V40" s="11">
        <v>2</v>
      </c>
      <c r="W40" s="11">
        <v>4</v>
      </c>
      <c r="X40" s="11">
        <v>6</v>
      </c>
      <c r="Y40" s="11">
        <v>8</v>
      </c>
    </row>
    <row r="41" spans="4:25">
      <c r="D41">
        <v>45</v>
      </c>
      <c r="E41" t="s">
        <v>113</v>
      </c>
      <c r="F41" t="s">
        <v>114</v>
      </c>
      <c r="G41">
        <v>5</v>
      </c>
      <c r="H41" t="s">
        <v>113</v>
      </c>
      <c r="I41" s="9">
        <f t="shared" ref="I41:I56" si="5">G_mass/3600/U41</f>
        <v>74604.330693779135</v>
      </c>
      <c r="J41" s="9">
        <f t="shared" ref="J41:J56" si="6">G_mass/3600/V41</f>
        <v>37302.165346889567</v>
      </c>
      <c r="K41" s="9">
        <f t="shared" ref="K41:K56" si="7">G_mass/3600/W41</f>
        <v>18651.082673444784</v>
      </c>
      <c r="L41" s="9">
        <f t="shared" ref="L41:L56" si="8">G_mass/3600/X41</f>
        <v>12434.055115629855</v>
      </c>
      <c r="M41" s="9">
        <f t="shared" ref="M41:M56" si="9">G_mass/3600/Y41</f>
        <v>9325.5413367223919</v>
      </c>
      <c r="P41">
        <v>45</v>
      </c>
      <c r="Q41" t="s">
        <v>113</v>
      </c>
      <c r="R41" t="s">
        <v>114</v>
      </c>
      <c r="S41">
        <v>5</v>
      </c>
      <c r="T41" t="s">
        <v>113</v>
      </c>
      <c r="U41">
        <f>((P41-2*S41)/1000)^2*PI()/4*U40</f>
        <v>9.6211275016187424E-4</v>
      </c>
      <c r="V41">
        <f>((P41-2*S41)/1000)^2*PI()/4*V40</f>
        <v>1.9242255003237485E-3</v>
      </c>
      <c r="W41">
        <f>((P41-2*S41)/1000)^2*PI()/4*W40</f>
        <v>3.8484510006474969E-3</v>
      </c>
      <c r="X41">
        <f>((P41-2*S41)/1000)^2*PI()/4*X40</f>
        <v>5.7726765009712454E-3</v>
      </c>
      <c r="Y41">
        <f>((P41-2*S41)/1000)^2*PI()/4*Y40</f>
        <v>7.6969020012949939E-3</v>
      </c>
    </row>
    <row r="42" spans="4:25">
      <c r="D42">
        <v>57</v>
      </c>
      <c r="E42" t="s">
        <v>113</v>
      </c>
      <c r="F42" t="s">
        <v>114</v>
      </c>
      <c r="G42">
        <v>5</v>
      </c>
      <c r="H42" t="s">
        <v>113</v>
      </c>
      <c r="I42" s="9">
        <f t="shared" si="5"/>
        <v>41371.799501982547</v>
      </c>
      <c r="J42" s="9">
        <f t="shared" si="6"/>
        <v>20685.899750991273</v>
      </c>
      <c r="K42" s="9">
        <f t="shared" si="7"/>
        <v>10342.949875495637</v>
      </c>
      <c r="L42" s="9">
        <f t="shared" si="8"/>
        <v>6895.2999169970917</v>
      </c>
      <c r="M42" s="9">
        <f t="shared" si="9"/>
        <v>5171.4749377478183</v>
      </c>
      <c r="P42">
        <v>57</v>
      </c>
      <c r="Q42" t="s">
        <v>113</v>
      </c>
      <c r="R42" t="s">
        <v>114</v>
      </c>
      <c r="S42">
        <v>5</v>
      </c>
      <c r="T42" t="s">
        <v>113</v>
      </c>
      <c r="U42">
        <f>((P42-2*S42)/1000)^2*PI()/4*U40</f>
        <v>1.7349445429449633E-3</v>
      </c>
      <c r="V42">
        <f>((P42-2*S42)/1000)^2*PI()/4*V40</f>
        <v>3.4698890858899266E-3</v>
      </c>
      <c r="W42">
        <f>((P42-2*S42)/1000)^2*PI()/4*W40</f>
        <v>6.9397781717798531E-3</v>
      </c>
      <c r="X42">
        <f>((P42-2*S42)/1000)^2*PI()/4*X40</f>
        <v>1.0409667257669779E-2</v>
      </c>
      <c r="Y42">
        <f>((P42-2*S42)/1000)^2*PI()/4*Y40</f>
        <v>1.3879556343559706E-2</v>
      </c>
    </row>
    <row r="43" spans="4:25">
      <c r="D43">
        <v>76</v>
      </c>
      <c r="E43" t="s">
        <v>113</v>
      </c>
      <c r="F43" t="s">
        <v>114</v>
      </c>
      <c r="G43">
        <v>5</v>
      </c>
      <c r="H43" t="s">
        <v>113</v>
      </c>
      <c r="I43" s="9">
        <f t="shared" si="5"/>
        <v>20980.327157915392</v>
      </c>
      <c r="J43" s="9">
        <f t="shared" si="6"/>
        <v>10490.163578957696</v>
      </c>
      <c r="K43" s="9">
        <f t="shared" si="7"/>
        <v>5245.0817894788479</v>
      </c>
      <c r="L43" s="9">
        <f t="shared" si="8"/>
        <v>3496.7211929858986</v>
      </c>
      <c r="M43" s="9">
        <f t="shared" si="9"/>
        <v>2622.5408947394239</v>
      </c>
      <c r="P43">
        <v>76</v>
      </c>
      <c r="Q43" t="s">
        <v>113</v>
      </c>
      <c r="R43" t="s">
        <v>114</v>
      </c>
      <c r="S43">
        <v>5</v>
      </c>
      <c r="T43" t="s">
        <v>113</v>
      </c>
      <c r="U43">
        <f>((P43-2*S43)/1000)^2*PI()/4*U40</f>
        <v>3.4211943997592849E-3</v>
      </c>
      <c r="V43">
        <f>((P43-2*S43)/1000)^2*PI()/4*V40</f>
        <v>6.8423887995185699E-3</v>
      </c>
      <c r="W43">
        <f>((P43-2*S43)/1000)^2*PI()/4*W40</f>
        <v>1.368477759903714E-2</v>
      </c>
      <c r="X43">
        <f>((P43-2*S43)/1000)^2*PI()/4*X40</f>
        <v>2.0527166398555709E-2</v>
      </c>
      <c r="Y43">
        <f>((P43-2*S43)/1000)^2*PI()/4*Y40</f>
        <v>2.7369555198074279E-2</v>
      </c>
    </row>
    <row r="44" spans="4:25">
      <c r="D44">
        <v>89</v>
      </c>
      <c r="E44" t="s">
        <v>113</v>
      </c>
      <c r="F44" t="s">
        <v>114</v>
      </c>
      <c r="G44">
        <v>5</v>
      </c>
      <c r="H44" t="s">
        <v>113</v>
      </c>
      <c r="I44" s="9">
        <f t="shared" si="5"/>
        <v>14643.535507110952</v>
      </c>
      <c r="J44" s="9">
        <f t="shared" si="6"/>
        <v>7321.7677535554758</v>
      </c>
      <c r="K44" s="9">
        <f t="shared" si="7"/>
        <v>3660.8838767777379</v>
      </c>
      <c r="L44" s="9">
        <f t="shared" si="8"/>
        <v>2440.5892511851589</v>
      </c>
      <c r="M44" s="9">
        <f t="shared" si="9"/>
        <v>1830.4419383888689</v>
      </c>
      <c r="P44">
        <v>89</v>
      </c>
      <c r="Q44" t="s">
        <v>113</v>
      </c>
      <c r="R44" t="s">
        <v>114</v>
      </c>
      <c r="S44">
        <v>5</v>
      </c>
      <c r="T44" t="s">
        <v>113</v>
      </c>
      <c r="U44">
        <f>((P44-2*S44)/1000)^2*PI()/4*U40</f>
        <v>4.9016699377634745E-3</v>
      </c>
      <c r="V44">
        <f>((P44-2*S44)/1000)^2*PI()/4*V40</f>
        <v>9.803339875526949E-3</v>
      </c>
      <c r="W44">
        <f>((P44-2*S44)/1000)^2*PI()/4*W40</f>
        <v>1.9606679751053898E-2</v>
      </c>
      <c r="X44">
        <f>((P44-2*S44)/1000)^2*PI()/4*X40</f>
        <v>2.9410019626580845E-2</v>
      </c>
      <c r="Y44">
        <f>((P44-2*S44)/1000)^2*PI()/4*Y40</f>
        <v>3.9213359502107796E-2</v>
      </c>
    </row>
    <row r="45" spans="4:25">
      <c r="D45">
        <v>102</v>
      </c>
      <c r="E45" t="s">
        <v>113</v>
      </c>
      <c r="F45" t="s">
        <v>114</v>
      </c>
      <c r="G45">
        <v>5</v>
      </c>
      <c r="H45" t="s">
        <v>113</v>
      </c>
      <c r="I45" s="9">
        <f t="shared" si="5"/>
        <v>10797.531320874226</v>
      </c>
      <c r="J45" s="9">
        <f t="shared" si="6"/>
        <v>5398.7656604371132</v>
      </c>
      <c r="K45" s="9">
        <f t="shared" si="7"/>
        <v>2699.3828302185566</v>
      </c>
      <c r="L45" s="9">
        <f t="shared" si="8"/>
        <v>1799.588553479038</v>
      </c>
      <c r="M45" s="9">
        <f t="shared" si="9"/>
        <v>1349.6914151092783</v>
      </c>
      <c r="P45">
        <v>102</v>
      </c>
      <c r="Q45" t="s">
        <v>113</v>
      </c>
      <c r="R45" t="s">
        <v>114</v>
      </c>
      <c r="S45">
        <v>5</v>
      </c>
      <c r="T45" t="s">
        <v>113</v>
      </c>
      <c r="U45">
        <f>((P45-2*S45)/1000)^2*PI()/4*U40</f>
        <v>6.6476100549960017E-3</v>
      </c>
      <c r="V45">
        <f>((P45-2*S45)/1000)^2*PI()/4*V40</f>
        <v>1.3295220109992003E-2</v>
      </c>
      <c r="W45">
        <f>((P45-2*S45)/1000)^2*PI()/4*W40</f>
        <v>2.6590440219984007E-2</v>
      </c>
      <c r="X45">
        <f>((P45-2*S45)/1000)^2*PI()/4*X40</f>
        <v>3.9885660329976008E-2</v>
      </c>
      <c r="Y45">
        <f>((P45-2*S45)/1000)^2*PI()/4*Y40</f>
        <v>5.3180880439968013E-2</v>
      </c>
    </row>
    <row r="46" spans="4:25">
      <c r="D46">
        <v>108</v>
      </c>
      <c r="E46" t="s">
        <v>113</v>
      </c>
      <c r="F46" t="s">
        <v>114</v>
      </c>
      <c r="G46">
        <v>5</v>
      </c>
      <c r="H46" t="s">
        <v>113</v>
      </c>
      <c r="I46" s="9">
        <f t="shared" si="5"/>
        <v>9515.8585068595839</v>
      </c>
      <c r="J46" s="9">
        <f t="shared" si="6"/>
        <v>4757.929253429792</v>
      </c>
      <c r="K46" s="9">
        <f t="shared" si="7"/>
        <v>2378.964626714896</v>
      </c>
      <c r="L46" s="9">
        <f t="shared" si="8"/>
        <v>1585.9764178099306</v>
      </c>
      <c r="M46" s="9">
        <f t="shared" si="9"/>
        <v>1189.482313357448</v>
      </c>
      <c r="P46">
        <v>108</v>
      </c>
      <c r="Q46" t="s">
        <v>113</v>
      </c>
      <c r="R46" t="s">
        <v>114</v>
      </c>
      <c r="S46">
        <v>5</v>
      </c>
      <c r="T46" t="s">
        <v>113</v>
      </c>
      <c r="U46">
        <f>((P46-2*S46)/1000)^2*PI()/4*U40</f>
        <v>7.5429639612690945E-3</v>
      </c>
      <c r="V46">
        <f>((P46-2*S46)/1000)^2*PI()/4*V40</f>
        <v>1.5085927922538189E-2</v>
      </c>
      <c r="W46">
        <f>((P46-2*S46)/1000)^2*PI()/4*W40</f>
        <v>3.0171855845076378E-2</v>
      </c>
      <c r="X46">
        <f>((P46-2*S46)/1000)^2*PI()/4*X40</f>
        <v>4.5257783767614565E-2</v>
      </c>
      <c r="Y46">
        <f>((P46-2*S46)/1000)^2*PI()/4*Y40</f>
        <v>6.0343711690152756E-2</v>
      </c>
    </row>
    <row r="47" spans="4:25">
      <c r="D47">
        <v>114</v>
      </c>
      <c r="E47" t="s">
        <v>113</v>
      </c>
      <c r="F47" t="s">
        <v>114</v>
      </c>
      <c r="G47">
        <v>6</v>
      </c>
      <c r="H47" t="s">
        <v>113</v>
      </c>
      <c r="I47" s="9">
        <f t="shared" si="5"/>
        <v>8784.150816981879</v>
      </c>
      <c r="J47" s="9">
        <f t="shared" si="6"/>
        <v>4392.0754084909395</v>
      </c>
      <c r="K47" s="9">
        <f t="shared" si="7"/>
        <v>2196.0377042454697</v>
      </c>
      <c r="L47" s="9">
        <f t="shared" si="8"/>
        <v>1464.0251361636465</v>
      </c>
      <c r="M47" s="9">
        <f t="shared" si="9"/>
        <v>1098.0188521227349</v>
      </c>
      <c r="P47">
        <v>114</v>
      </c>
      <c r="Q47" t="s">
        <v>113</v>
      </c>
      <c r="R47" t="s">
        <v>114</v>
      </c>
      <c r="S47">
        <v>6</v>
      </c>
      <c r="T47" t="s">
        <v>113</v>
      </c>
      <c r="U47">
        <f>((P47-2*S47)/1000)^2*PI()/4*U40</f>
        <v>8.1712824919870503E-3</v>
      </c>
      <c r="V47">
        <f>((P47-2*S47)/1000)^2*PI()/4*V40</f>
        <v>1.6342564983974101E-2</v>
      </c>
      <c r="W47">
        <f>((P47-2*S47)/1000)^2*PI()/4*W40</f>
        <v>3.2685129967948201E-2</v>
      </c>
      <c r="X47">
        <f>((P47-2*S47)/1000)^2*PI()/4*X40</f>
        <v>4.9027694951922302E-2</v>
      </c>
      <c r="Y47">
        <f>((P47-2*S47)/1000)^2*PI()/4*Y40</f>
        <v>6.5370259935896402E-2</v>
      </c>
    </row>
    <row r="48" spans="4:25">
      <c r="D48">
        <v>127</v>
      </c>
      <c r="E48" t="s">
        <v>113</v>
      </c>
      <c r="F48" t="s">
        <v>114</v>
      </c>
      <c r="G48">
        <v>6</v>
      </c>
      <c r="H48" t="s">
        <v>113</v>
      </c>
      <c r="I48" s="9">
        <f t="shared" si="5"/>
        <v>6910.420045359504</v>
      </c>
      <c r="J48" s="9">
        <f t="shared" si="6"/>
        <v>3455.210022679752</v>
      </c>
      <c r="K48" s="9">
        <f t="shared" si="7"/>
        <v>1727.605011339876</v>
      </c>
      <c r="L48" s="9">
        <f t="shared" si="8"/>
        <v>1151.736674226584</v>
      </c>
      <c r="M48" s="9">
        <f t="shared" si="9"/>
        <v>863.802505669938</v>
      </c>
      <c r="P48">
        <v>127</v>
      </c>
      <c r="Q48" t="s">
        <v>113</v>
      </c>
      <c r="R48" t="s">
        <v>114</v>
      </c>
      <c r="S48">
        <v>6</v>
      </c>
      <c r="T48" t="s">
        <v>113</v>
      </c>
      <c r="U48">
        <f>((P48-2*S48)/1000)^2*PI()/4*U40</f>
        <v>1.0386890710931254E-2</v>
      </c>
      <c r="V48">
        <f>((P48-2*S48)/1000)^2*PI()/4*V40</f>
        <v>2.0773781421862508E-2</v>
      </c>
      <c r="W48">
        <f>((P48-2*S48)/1000)^2*PI()/4*W40</f>
        <v>4.1547562843725017E-2</v>
      </c>
      <c r="X48">
        <f>((P48-2*S48)/1000)^2*PI()/4*X40</f>
        <v>6.2321344265587525E-2</v>
      </c>
      <c r="Y48">
        <f>((P48-2*S48)/1000)^2*PI()/4*Y40</f>
        <v>8.3095125687450033E-2</v>
      </c>
    </row>
    <row r="49" spans="4:25">
      <c r="D49">
        <v>152</v>
      </c>
      <c r="E49" t="s">
        <v>113</v>
      </c>
      <c r="F49" t="s">
        <v>114</v>
      </c>
      <c r="G49">
        <v>6</v>
      </c>
      <c r="H49" t="s">
        <v>113</v>
      </c>
      <c r="I49" s="9">
        <f t="shared" si="5"/>
        <v>4662.7706683611959</v>
      </c>
      <c r="J49" s="9">
        <f t="shared" si="6"/>
        <v>2331.385334180598</v>
      </c>
      <c r="K49" s="9">
        <f t="shared" si="7"/>
        <v>1165.692667090299</v>
      </c>
      <c r="L49" s="9">
        <f t="shared" si="8"/>
        <v>777.12844472686595</v>
      </c>
      <c r="M49" s="9">
        <f t="shared" si="9"/>
        <v>582.84633354514949</v>
      </c>
      <c r="P49">
        <v>152</v>
      </c>
      <c r="Q49" t="s">
        <v>113</v>
      </c>
      <c r="R49" t="s">
        <v>114</v>
      </c>
      <c r="S49">
        <v>6</v>
      </c>
      <c r="T49" t="s">
        <v>113</v>
      </c>
      <c r="U49">
        <f>((P49-2*S49)/1000)^2*PI()/4*U40</f>
        <v>1.5393804002589988E-2</v>
      </c>
      <c r="V49">
        <f>((P49-2*S49)/1000)^2*PI()/4*V40</f>
        <v>3.0787608005179976E-2</v>
      </c>
      <c r="W49">
        <f>((P49-2*S49)/1000)^2*PI()/4*W40</f>
        <v>6.1575216010359951E-2</v>
      </c>
      <c r="X49">
        <f>((P49-2*S49)/1000)^2*PI()/4*X40</f>
        <v>9.2362824015539927E-2</v>
      </c>
      <c r="Y49">
        <f>((P49-2*S49)/1000)^2*PI()/4*Y40</f>
        <v>0.1231504320207199</v>
      </c>
    </row>
    <row r="50" spans="4:25">
      <c r="D50">
        <v>159</v>
      </c>
      <c r="E50" t="s">
        <v>113</v>
      </c>
      <c r="F50" t="s">
        <v>114</v>
      </c>
      <c r="G50">
        <v>6</v>
      </c>
      <c r="H50" t="s">
        <v>113</v>
      </c>
      <c r="I50" s="9">
        <f t="shared" si="5"/>
        <v>4229.2704474931497</v>
      </c>
      <c r="J50" s="9">
        <f t="shared" si="6"/>
        <v>2114.6352237465749</v>
      </c>
      <c r="K50" s="9">
        <f t="shared" si="7"/>
        <v>1057.3176118732874</v>
      </c>
      <c r="L50" s="9">
        <f t="shared" si="8"/>
        <v>704.87840791552492</v>
      </c>
      <c r="M50" s="9">
        <f t="shared" si="9"/>
        <v>528.65880593664372</v>
      </c>
      <c r="P50">
        <v>159</v>
      </c>
      <c r="Q50" t="s">
        <v>113</v>
      </c>
      <c r="R50" t="s">
        <v>114</v>
      </c>
      <c r="S50">
        <v>6</v>
      </c>
      <c r="T50" t="s">
        <v>113</v>
      </c>
      <c r="U50">
        <f>((P50-2*S50)/1000)^2*PI()/4*U40</f>
        <v>1.6971668912855457E-2</v>
      </c>
      <c r="V50">
        <f>((P50-2*S50)/1000)^2*PI()/4*V40</f>
        <v>3.3943337825710913E-2</v>
      </c>
      <c r="W50">
        <f>((P50-2*S50)/1000)^2*PI()/4*W40</f>
        <v>6.7886675651421827E-2</v>
      </c>
      <c r="X50">
        <f>((P50-2*S50)/1000)^2*PI()/4*X40</f>
        <v>0.10183001347713275</v>
      </c>
      <c r="Y50">
        <f>((P50-2*S50)/1000)^2*PI()/4*Y40</f>
        <v>0.13577335130284365</v>
      </c>
    </row>
    <row r="51" spans="4:25">
      <c r="D51">
        <v>168</v>
      </c>
      <c r="E51" t="s">
        <v>113</v>
      </c>
      <c r="F51" t="s">
        <v>114</v>
      </c>
      <c r="G51">
        <v>6</v>
      </c>
      <c r="H51" t="s">
        <v>113</v>
      </c>
      <c r="I51" s="9">
        <f t="shared" si="5"/>
        <v>3755.3544173191749</v>
      </c>
      <c r="J51" s="9">
        <f t="shared" si="6"/>
        <v>1877.6772086595874</v>
      </c>
      <c r="K51" s="9">
        <f t="shared" si="7"/>
        <v>938.83860432979372</v>
      </c>
      <c r="L51" s="9">
        <f t="shared" si="8"/>
        <v>625.89240288652923</v>
      </c>
      <c r="M51" s="9">
        <f t="shared" si="9"/>
        <v>469.41930216489686</v>
      </c>
      <c r="P51">
        <v>168</v>
      </c>
      <c r="Q51" t="s">
        <v>113</v>
      </c>
      <c r="R51" t="s">
        <v>114</v>
      </c>
      <c r="S51">
        <v>6</v>
      </c>
      <c r="T51" t="s">
        <v>113</v>
      </c>
      <c r="U51">
        <f>((P51-2*S51)/1000)^2*PI()/4*U40</f>
        <v>1.9113449704440302E-2</v>
      </c>
      <c r="V51">
        <f>((P51-2*S51)/1000)^2*PI()/4*V40</f>
        <v>3.8226899408880605E-2</v>
      </c>
      <c r="W51">
        <f>((P51-2*S51)/1000)^2*PI()/4*W40</f>
        <v>7.6453798817761209E-2</v>
      </c>
      <c r="X51">
        <f>((P51-2*S51)/1000)^2*PI()/4*X40</f>
        <v>0.11468069822664181</v>
      </c>
      <c r="Y51">
        <f>((P51-2*S51)/1000)^2*PI()/4*Y40</f>
        <v>0.15290759763552242</v>
      </c>
    </row>
    <row r="52" spans="4:25">
      <c r="D52">
        <v>219</v>
      </c>
      <c r="E52" t="s">
        <v>113</v>
      </c>
      <c r="F52" t="s">
        <v>114</v>
      </c>
      <c r="G52">
        <v>7</v>
      </c>
      <c r="H52" t="s">
        <v>113</v>
      </c>
      <c r="I52" s="9">
        <f t="shared" si="5"/>
        <v>2174.6652016628072</v>
      </c>
      <c r="J52" s="9">
        <f t="shared" si="6"/>
        <v>1087.3326008314036</v>
      </c>
      <c r="K52" s="9">
        <f t="shared" si="7"/>
        <v>543.66630041570181</v>
      </c>
      <c r="L52" s="9">
        <f t="shared" si="8"/>
        <v>362.44420027713454</v>
      </c>
      <c r="M52" s="9">
        <f t="shared" si="9"/>
        <v>271.83315020785091</v>
      </c>
      <c r="P52">
        <v>219</v>
      </c>
      <c r="Q52" t="s">
        <v>113</v>
      </c>
      <c r="R52" t="s">
        <v>114</v>
      </c>
      <c r="S52">
        <v>7</v>
      </c>
      <c r="T52" t="s">
        <v>113</v>
      </c>
      <c r="U52">
        <f>((P52-2*S52)/1000)^2*PI()/4*U40</f>
        <v>3.3006357816777757E-2</v>
      </c>
      <c r="V52">
        <f>((P52-2*S52)/1000)^2*PI()/4*V40</f>
        <v>6.6012715633555513E-2</v>
      </c>
      <c r="W52">
        <f>((P52-2*S52)/1000)^2*PI()/4*W40</f>
        <v>0.13202543126711103</v>
      </c>
      <c r="X52">
        <f>((P52-2*S52)/1000)^2*PI()/4*X40</f>
        <v>0.19803814690066654</v>
      </c>
      <c r="Y52">
        <f>((P52-2*S52)/1000)^2*PI()/4*Y40</f>
        <v>0.26405086253422205</v>
      </c>
    </row>
    <row r="53" spans="4:25">
      <c r="D53">
        <v>273</v>
      </c>
      <c r="E53" t="s">
        <v>113</v>
      </c>
      <c r="F53" t="s">
        <v>114</v>
      </c>
      <c r="G53">
        <v>8</v>
      </c>
      <c r="H53" t="s">
        <v>113</v>
      </c>
      <c r="I53" s="9">
        <f t="shared" si="5"/>
        <v>1383.6743190643226</v>
      </c>
      <c r="J53" s="9">
        <f t="shared" si="6"/>
        <v>691.83715953216131</v>
      </c>
      <c r="K53" s="9">
        <f t="shared" si="7"/>
        <v>345.91857976608065</v>
      </c>
      <c r="L53" s="9">
        <f t="shared" si="8"/>
        <v>230.61238651072046</v>
      </c>
      <c r="M53" s="9">
        <f t="shared" si="9"/>
        <v>172.95928988304033</v>
      </c>
      <c r="P53">
        <v>273</v>
      </c>
      <c r="Q53" t="s">
        <v>113</v>
      </c>
      <c r="R53" t="s">
        <v>114</v>
      </c>
      <c r="S53">
        <v>8</v>
      </c>
      <c r="T53" t="s">
        <v>113</v>
      </c>
      <c r="U53">
        <f>((P53-2*S53)/1000)^2*PI()/4*U40</f>
        <v>5.1874763294238062E-2</v>
      </c>
      <c r="V53">
        <f>((P53-2*S53)/1000)^2*PI()/4*V40</f>
        <v>0.10374952658847612</v>
      </c>
      <c r="W53">
        <f>((P53-2*S53)/1000)^2*PI()/4*W40</f>
        <v>0.20749905317695225</v>
      </c>
      <c r="X53">
        <f>((P53-2*S53)/1000)^2*PI()/4*X40</f>
        <v>0.31124857976542836</v>
      </c>
      <c r="Y53">
        <f>((P53-2*S53)/1000)^2*PI()/4*Y40</f>
        <v>0.41499810635390449</v>
      </c>
    </row>
    <row r="54" spans="4:25">
      <c r="D54">
        <v>325</v>
      </c>
      <c r="E54" t="s">
        <v>113</v>
      </c>
      <c r="F54" t="s">
        <v>114</v>
      </c>
      <c r="G54">
        <v>8</v>
      </c>
      <c r="H54" t="s">
        <v>113</v>
      </c>
      <c r="I54" s="9">
        <f t="shared" si="5"/>
        <v>957.15697468480062</v>
      </c>
      <c r="J54" s="9">
        <f t="shared" si="6"/>
        <v>478.57848734240031</v>
      </c>
      <c r="K54" s="9">
        <f t="shared" si="7"/>
        <v>239.28924367120015</v>
      </c>
      <c r="L54" s="9">
        <f t="shared" si="8"/>
        <v>159.52616244746676</v>
      </c>
      <c r="M54" s="9">
        <f t="shared" si="9"/>
        <v>119.64462183560008</v>
      </c>
      <c r="P54">
        <v>325</v>
      </c>
      <c r="Q54" t="s">
        <v>113</v>
      </c>
      <c r="R54" t="s">
        <v>114</v>
      </c>
      <c r="S54">
        <v>8</v>
      </c>
      <c r="T54" t="s">
        <v>113</v>
      </c>
      <c r="U54">
        <f>((P54-2*S54)/1000)^2*PI()/4*U40</f>
        <v>7.4990602039351761E-2</v>
      </c>
      <c r="V54">
        <f>((P54-2*S54)/1000)^2*PI()/4*V40</f>
        <v>0.14998120407870352</v>
      </c>
      <c r="W54">
        <f>((P54-2*S54)/1000)^2*PI()/4*W40</f>
        <v>0.29996240815740705</v>
      </c>
      <c r="X54">
        <f>((P54-2*S54)/1000)^2*PI()/4*X40</f>
        <v>0.44994361223611057</v>
      </c>
      <c r="Y54">
        <f>((P54-2*S54)/1000)^2*PI()/4*Y40</f>
        <v>0.59992481631481409</v>
      </c>
    </row>
    <row r="55" spans="4:25">
      <c r="D55">
        <v>377</v>
      </c>
      <c r="E55" t="s">
        <v>113</v>
      </c>
      <c r="F55" t="s">
        <v>114</v>
      </c>
      <c r="G55">
        <v>8</v>
      </c>
      <c r="H55" t="s">
        <v>113</v>
      </c>
      <c r="I55" s="9">
        <f t="shared" si="5"/>
        <v>701.27074761457834</v>
      </c>
      <c r="J55" s="9">
        <f t="shared" si="6"/>
        <v>350.63537380728917</v>
      </c>
      <c r="K55" s="9">
        <f t="shared" si="7"/>
        <v>175.31768690364459</v>
      </c>
      <c r="L55" s="9">
        <f t="shared" si="8"/>
        <v>116.87845793576304</v>
      </c>
      <c r="M55" s="9">
        <f t="shared" si="9"/>
        <v>87.658843451822293</v>
      </c>
      <c r="P55">
        <v>377</v>
      </c>
      <c r="Q55" t="s">
        <v>113</v>
      </c>
      <c r="R55" t="s">
        <v>114</v>
      </c>
      <c r="S55">
        <v>8</v>
      </c>
      <c r="T55" t="s">
        <v>113</v>
      </c>
      <c r="U55">
        <f>((P55-2*S55)/1000)^2*PI()/4*U40</f>
        <v>0.10235387405211885</v>
      </c>
      <c r="V55">
        <f>((P55-2*S55)/1000)^2*PI()/4*V40</f>
        <v>0.2047077481042377</v>
      </c>
      <c r="W55">
        <f>((P55-2*S55)/1000)^2*PI()/4*W40</f>
        <v>0.40941549620847539</v>
      </c>
      <c r="X55">
        <f>((P55-2*S55)/1000)^2*PI()/4*X40</f>
        <v>0.61412324431271315</v>
      </c>
      <c r="Y55">
        <f>((P55-2*S55)/1000)^2*PI()/4*Y40</f>
        <v>0.81883099241695079</v>
      </c>
    </row>
    <row r="56" spans="4:25">
      <c r="D56">
        <v>426</v>
      </c>
      <c r="E56" t="s">
        <v>113</v>
      </c>
      <c r="F56" t="s">
        <v>114</v>
      </c>
      <c r="G56">
        <v>8</v>
      </c>
      <c r="H56" t="s">
        <v>113</v>
      </c>
      <c r="I56" s="9">
        <f t="shared" si="5"/>
        <v>543.66630041570181</v>
      </c>
      <c r="J56" s="9">
        <f t="shared" si="6"/>
        <v>271.83315020785091</v>
      </c>
      <c r="K56" s="9">
        <f t="shared" si="7"/>
        <v>135.91657510392545</v>
      </c>
      <c r="L56" s="9">
        <f t="shared" si="8"/>
        <v>90.611050069283635</v>
      </c>
      <c r="M56" s="9">
        <f t="shared" si="9"/>
        <v>67.958287551962727</v>
      </c>
      <c r="P56">
        <v>426</v>
      </c>
      <c r="Q56" t="s">
        <v>113</v>
      </c>
      <c r="R56" t="s">
        <v>114</v>
      </c>
      <c r="S56">
        <v>8</v>
      </c>
      <c r="T56" t="s">
        <v>113</v>
      </c>
      <c r="U56">
        <f>((P56-2*S56)/1000)^2*PI()/4*U40</f>
        <v>0.13202543126711103</v>
      </c>
      <c r="V56">
        <f>((P56-2*S56)/1000)^2*PI()/4*V40</f>
        <v>0.26405086253422205</v>
      </c>
      <c r="W56">
        <f>((P56-2*S56)/1000)^2*PI()/4*W40</f>
        <v>0.52810172506844411</v>
      </c>
      <c r="X56">
        <f>((P56-2*S56)/1000)^2*PI()/4*X40</f>
        <v>0.79215258760266616</v>
      </c>
      <c r="Y56">
        <f>((P56-2*S56)/1000)^2*PI()/4*Y40</f>
        <v>1.0562034501368882</v>
      </c>
    </row>
  </sheetData>
  <mergeCells count="12">
    <mergeCell ref="D18:M18"/>
    <mergeCell ref="P18:Y18"/>
    <mergeCell ref="D19:H20"/>
    <mergeCell ref="I19:M19"/>
    <mergeCell ref="P19:T20"/>
    <mergeCell ref="U19:Y19"/>
    <mergeCell ref="I38:M38"/>
    <mergeCell ref="P38:Y38"/>
    <mergeCell ref="D39:H40"/>
    <mergeCell ref="I39:M39"/>
    <mergeCell ref="P39:T40"/>
    <mergeCell ref="U39:Y39"/>
  </mergeCells>
  <conditionalFormatting sqref="I21:M36">
    <cfRule type="cellIs" dxfId="53" priority="2" operator="between">
      <formula>$B$11</formula>
      <formula>$B$12</formula>
    </cfRule>
  </conditionalFormatting>
  <conditionalFormatting sqref="I41:M56">
    <cfRule type="cellIs" dxfId="52" priority="1" operator="between">
      <formula>$B$14</formula>
      <formula>$B$15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K24"/>
  <sheetViews>
    <sheetView workbookViewId="0">
      <selection activeCell="C12" sqref="C12"/>
    </sheetView>
  </sheetViews>
  <sheetFormatPr defaultRowHeight="15"/>
  <cols>
    <col min="1" max="1" width="47.28515625" customWidth="1"/>
    <col min="2" max="2" width="14" bestFit="1" customWidth="1"/>
    <col min="3" max="3" width="16.5703125" bestFit="1" customWidth="1"/>
  </cols>
  <sheetData>
    <row r="1" spans="1:11">
      <c r="A1" s="17" t="s">
        <v>119</v>
      </c>
      <c r="B1" s="16" t="s">
        <v>118</v>
      </c>
      <c r="C1" s="19" t="s">
        <v>120</v>
      </c>
    </row>
    <row r="2" spans="1:11">
      <c r="A2" s="17"/>
      <c r="B2" s="16"/>
      <c r="C2" s="19"/>
    </row>
    <row r="3" spans="1:11" ht="30">
      <c r="A3" s="7" t="s">
        <v>205</v>
      </c>
      <c r="B3" t="s">
        <v>125</v>
      </c>
      <c r="C3" s="202">
        <f>Fuel!B40</f>
        <v>100</v>
      </c>
      <c r="D3" s="203">
        <f>C3</f>
        <v>100</v>
      </c>
      <c r="E3" s="203">
        <f t="shared" ref="E3:I3" si="0">D3</f>
        <v>100</v>
      </c>
      <c r="F3" s="203">
        <f t="shared" si="0"/>
        <v>100</v>
      </c>
      <c r="G3" s="203">
        <f t="shared" si="0"/>
        <v>100</v>
      </c>
      <c r="H3" s="203">
        <f t="shared" si="0"/>
        <v>100</v>
      </c>
      <c r="I3" s="203">
        <f t="shared" si="0"/>
        <v>100</v>
      </c>
      <c r="J3" s="203">
        <f t="shared" ref="J3:K3" si="1">I3</f>
        <v>100</v>
      </c>
      <c r="K3" s="203">
        <f t="shared" si="1"/>
        <v>100</v>
      </c>
    </row>
    <row r="4" spans="1:11">
      <c r="A4" s="7" t="s">
        <v>206</v>
      </c>
      <c r="B4" t="s">
        <v>207</v>
      </c>
      <c r="C4" s="128">
        <f>Fuel!B39</f>
        <v>0.91118210000000011</v>
      </c>
      <c r="D4" s="204">
        <f>C4</f>
        <v>0.91118210000000011</v>
      </c>
      <c r="E4" s="204">
        <f t="shared" ref="E4:I4" si="2">D4</f>
        <v>0.91118210000000011</v>
      </c>
      <c r="F4" s="204">
        <f t="shared" si="2"/>
        <v>0.91118210000000011</v>
      </c>
      <c r="G4" s="204">
        <f t="shared" si="2"/>
        <v>0.91118210000000011</v>
      </c>
      <c r="H4" s="204">
        <f t="shared" si="2"/>
        <v>0.91118210000000011</v>
      </c>
      <c r="I4" s="204">
        <f t="shared" si="2"/>
        <v>0.91118210000000011</v>
      </c>
      <c r="J4" s="204">
        <f t="shared" ref="J4:K4" si="3">I4</f>
        <v>0.91118210000000011</v>
      </c>
      <c r="K4" s="204">
        <f t="shared" si="3"/>
        <v>0.91118210000000011</v>
      </c>
    </row>
    <row r="5" spans="1:11">
      <c r="A5" s="7" t="s">
        <v>208</v>
      </c>
      <c r="B5" t="s">
        <v>207</v>
      </c>
      <c r="C5" s="73">
        <v>0.73</v>
      </c>
      <c r="D5" s="203">
        <f>C5</f>
        <v>0.73</v>
      </c>
      <c r="E5" s="203">
        <f t="shared" ref="E5:I5" si="4">D5</f>
        <v>0.73</v>
      </c>
      <c r="F5" s="203">
        <f t="shared" si="4"/>
        <v>0.73</v>
      </c>
      <c r="G5" s="203">
        <f t="shared" si="4"/>
        <v>0.73</v>
      </c>
      <c r="H5" s="203">
        <f t="shared" si="4"/>
        <v>0.73</v>
      </c>
      <c r="I5" s="203">
        <f t="shared" si="4"/>
        <v>0.73</v>
      </c>
      <c r="J5" s="203">
        <f t="shared" ref="J5:K5" si="5">I5</f>
        <v>0.73</v>
      </c>
      <c r="K5" s="203">
        <f t="shared" si="5"/>
        <v>0.73</v>
      </c>
    </row>
    <row r="6" spans="1:11">
      <c r="A6" s="7" t="s">
        <v>209</v>
      </c>
      <c r="B6" t="s">
        <v>210</v>
      </c>
      <c r="C6" s="116">
        <f>Fuel!B37</f>
        <v>42675.964000000007</v>
      </c>
      <c r="D6" s="205">
        <f>C6</f>
        <v>42675.964000000007</v>
      </c>
      <c r="E6" s="205">
        <f t="shared" ref="E6:I6" si="6">D6</f>
        <v>42675.964000000007</v>
      </c>
      <c r="F6" s="205">
        <f t="shared" si="6"/>
        <v>42675.964000000007</v>
      </c>
      <c r="G6" s="205">
        <f t="shared" si="6"/>
        <v>42675.964000000007</v>
      </c>
      <c r="H6" s="205">
        <f t="shared" si="6"/>
        <v>42675.964000000007</v>
      </c>
      <c r="I6" s="205">
        <f t="shared" si="6"/>
        <v>42675.964000000007</v>
      </c>
      <c r="J6" s="205">
        <f t="shared" ref="J6:K6" si="7">I6</f>
        <v>42675.964000000007</v>
      </c>
      <c r="K6" s="205">
        <f t="shared" si="7"/>
        <v>42675.964000000007</v>
      </c>
    </row>
    <row r="7" spans="1:11">
      <c r="A7" s="7" t="s">
        <v>211</v>
      </c>
      <c r="B7" t="s">
        <v>210</v>
      </c>
      <c r="C7" s="73">
        <v>35797</v>
      </c>
      <c r="D7" s="203">
        <f>C7</f>
        <v>35797</v>
      </c>
      <c r="E7" s="203">
        <f t="shared" ref="E7:I7" si="8">D7</f>
        <v>35797</v>
      </c>
      <c r="F7" s="203">
        <f t="shared" si="8"/>
        <v>35797</v>
      </c>
      <c r="G7" s="203">
        <f t="shared" si="8"/>
        <v>35797</v>
      </c>
      <c r="H7" s="203">
        <f t="shared" si="8"/>
        <v>35797</v>
      </c>
      <c r="I7" s="203">
        <f t="shared" si="8"/>
        <v>35797</v>
      </c>
      <c r="J7" s="203">
        <f t="shared" ref="J7:K7" si="9">I7</f>
        <v>35797</v>
      </c>
      <c r="K7" s="203">
        <f t="shared" si="9"/>
        <v>35797</v>
      </c>
    </row>
    <row r="8" spans="1:11" s="66" customFormat="1">
      <c r="A8" s="120"/>
      <c r="C8" s="134"/>
    </row>
    <row r="9" spans="1:11">
      <c r="A9" s="7" t="s">
        <v>230</v>
      </c>
      <c r="C9" s="20" t="s">
        <v>1014</v>
      </c>
      <c r="D9" s="20" t="s">
        <v>1015</v>
      </c>
      <c r="E9" s="20" t="s">
        <v>1016</v>
      </c>
      <c r="F9" s="20" t="s">
        <v>339</v>
      </c>
      <c r="G9" s="20" t="s">
        <v>1019</v>
      </c>
      <c r="H9" s="20" t="s">
        <v>1017</v>
      </c>
      <c r="I9" s="20" t="s">
        <v>1018</v>
      </c>
      <c r="J9" s="20" t="s">
        <v>1020</v>
      </c>
      <c r="K9" s="20" t="s">
        <v>1021</v>
      </c>
    </row>
    <row r="10" spans="1:11">
      <c r="A10" s="7" t="s">
        <v>212</v>
      </c>
      <c r="B10" t="s">
        <v>213</v>
      </c>
      <c r="C10" s="20">
        <v>0.5</v>
      </c>
      <c r="D10" s="20">
        <v>1</v>
      </c>
      <c r="E10" s="20">
        <v>1.5</v>
      </c>
      <c r="F10" s="20">
        <v>2</v>
      </c>
      <c r="G10" s="20">
        <v>3</v>
      </c>
      <c r="H10" s="20">
        <v>3.5</v>
      </c>
      <c r="I10" s="20">
        <v>4</v>
      </c>
      <c r="J10" s="20">
        <v>5</v>
      </c>
      <c r="K10" s="20">
        <v>6</v>
      </c>
    </row>
    <row r="11" spans="1:11">
      <c r="A11" s="7" t="s">
        <v>214</v>
      </c>
      <c r="B11" t="s">
        <v>215</v>
      </c>
      <c r="C11" s="44">
        <v>50</v>
      </c>
      <c r="D11" s="44">
        <v>100</v>
      </c>
      <c r="E11" s="44">
        <v>150</v>
      </c>
      <c r="F11" s="44">
        <v>200</v>
      </c>
      <c r="G11" s="44">
        <v>300</v>
      </c>
      <c r="H11" s="44">
        <v>350</v>
      </c>
      <c r="I11" s="44">
        <v>400</v>
      </c>
      <c r="J11" s="44">
        <v>500</v>
      </c>
      <c r="K11" s="44">
        <v>600</v>
      </c>
    </row>
    <row r="12" spans="1:11" ht="30">
      <c r="A12" s="7" t="s">
        <v>216</v>
      </c>
      <c r="B12" t="s">
        <v>221</v>
      </c>
      <c r="C12" s="20">
        <v>60</v>
      </c>
      <c r="D12" s="20">
        <v>60</v>
      </c>
      <c r="E12" s="20">
        <v>60</v>
      </c>
      <c r="F12" s="20">
        <v>60</v>
      </c>
      <c r="G12" s="20">
        <v>60</v>
      </c>
      <c r="H12" s="20">
        <v>60</v>
      </c>
      <c r="I12" s="20">
        <v>60</v>
      </c>
      <c r="J12" s="20">
        <v>60</v>
      </c>
      <c r="K12" s="20">
        <v>60</v>
      </c>
    </row>
    <row r="13" spans="1:11">
      <c r="A13" s="43" t="s">
        <v>217</v>
      </c>
      <c r="B13" s="6" t="s">
        <v>215</v>
      </c>
      <c r="C13" s="45">
        <f>C10*1000/C6*3600</f>
        <v>42.178309082836414</v>
      </c>
      <c r="D13" s="45">
        <f t="shared" ref="D13:I13" si="10">D10*1000/D6*3600</f>
        <v>84.356618165672828</v>
      </c>
      <c r="E13" s="45">
        <f t="shared" si="10"/>
        <v>126.53492724850923</v>
      </c>
      <c r="F13" s="45">
        <f t="shared" si="10"/>
        <v>168.71323633134566</v>
      </c>
      <c r="G13" s="45">
        <f t="shared" si="10"/>
        <v>253.06985449701847</v>
      </c>
      <c r="H13" s="45">
        <f t="shared" si="10"/>
        <v>295.24816357985486</v>
      </c>
      <c r="I13" s="45">
        <f t="shared" si="10"/>
        <v>337.42647266269131</v>
      </c>
      <c r="J13" s="45">
        <f t="shared" ref="J13:K13" si="11">J10*1000/J6*3600</f>
        <v>421.78309082836415</v>
      </c>
      <c r="K13" s="45">
        <f t="shared" si="11"/>
        <v>506.13970899403694</v>
      </c>
    </row>
    <row r="14" spans="1:11">
      <c r="A14" s="43" t="s">
        <v>218</v>
      </c>
      <c r="B14" s="6" t="s">
        <v>221</v>
      </c>
      <c r="C14" s="45">
        <f>C12*C4/C5*C7*C7/C6/C6*(273.15+C3)/273.15</f>
        <v>71.985063839970337</v>
      </c>
      <c r="D14" s="45">
        <f t="shared" ref="D14:I14" si="12">D12*D4/D5*D7*D7/D6/D6*(273.15+D3)/273.15</f>
        <v>71.985063839970337</v>
      </c>
      <c r="E14" s="45">
        <f t="shared" si="12"/>
        <v>71.985063839970337</v>
      </c>
      <c r="F14" s="45">
        <f t="shared" si="12"/>
        <v>71.985063839970337</v>
      </c>
      <c r="G14" s="45">
        <f t="shared" si="12"/>
        <v>71.985063839970337</v>
      </c>
      <c r="H14" s="45">
        <f t="shared" si="12"/>
        <v>71.985063839970337</v>
      </c>
      <c r="I14" s="45">
        <f t="shared" si="12"/>
        <v>71.985063839970337</v>
      </c>
      <c r="J14" s="45">
        <f t="shared" ref="J14:K14" si="13">J12*J4/J5*J7*J7/J6/J6*(273.15+J3)/273.15</f>
        <v>71.985063839970337</v>
      </c>
      <c r="K14" s="45">
        <f t="shared" si="13"/>
        <v>71.985063839970337</v>
      </c>
    </row>
    <row r="15" spans="1:11" ht="30">
      <c r="A15" s="7" t="s">
        <v>231</v>
      </c>
      <c r="C15" s="41">
        <v>1.1499999999999999</v>
      </c>
      <c r="D15" s="41">
        <v>1.1499999999999999</v>
      </c>
      <c r="E15" s="41">
        <v>1.1499999999999999</v>
      </c>
      <c r="F15" s="41">
        <v>1.1499999999999999</v>
      </c>
      <c r="G15" s="41">
        <v>1.1499999999999999</v>
      </c>
      <c r="H15" s="41">
        <v>1.1499999999999999</v>
      </c>
      <c r="I15" s="41">
        <v>1.1499999999999999</v>
      </c>
      <c r="J15" s="41">
        <v>1.1499999999999999</v>
      </c>
      <c r="K15" s="41">
        <v>1.1499999999999999</v>
      </c>
    </row>
    <row r="16" spans="1:11">
      <c r="A16" s="7" t="s">
        <v>232</v>
      </c>
      <c r="C16" s="42">
        <v>2.5</v>
      </c>
      <c r="D16" s="42">
        <v>2.5</v>
      </c>
      <c r="E16" s="42">
        <v>2.5</v>
      </c>
      <c r="F16" s="42">
        <v>2.5</v>
      </c>
      <c r="G16" s="42">
        <v>2.5</v>
      </c>
      <c r="H16" s="42">
        <v>2.5</v>
      </c>
      <c r="I16" s="42">
        <v>2.5</v>
      </c>
      <c r="J16" s="42">
        <v>2.5</v>
      </c>
      <c r="K16" s="42">
        <v>2.5</v>
      </c>
    </row>
    <row r="17" spans="1:11" ht="30">
      <c r="A17" s="7" t="s">
        <v>219</v>
      </c>
      <c r="B17" t="s">
        <v>215</v>
      </c>
      <c r="C17" s="44">
        <f>C11*C15/C16</f>
        <v>22.999999999999996</v>
      </c>
      <c r="D17" s="44">
        <f t="shared" ref="D17:I17" si="14">D11*D15/D16</f>
        <v>45.999999999999993</v>
      </c>
      <c r="E17" s="44">
        <f t="shared" si="14"/>
        <v>69</v>
      </c>
      <c r="F17" s="44">
        <f t="shared" si="14"/>
        <v>91.999999999999986</v>
      </c>
      <c r="G17" s="44">
        <f t="shared" si="14"/>
        <v>138</v>
      </c>
      <c r="H17" s="44">
        <f t="shared" si="14"/>
        <v>160.99999999999997</v>
      </c>
      <c r="I17" s="44">
        <f t="shared" si="14"/>
        <v>183.99999999999997</v>
      </c>
      <c r="J17" s="44">
        <f t="shared" ref="J17" si="15">J11*J15/J16</f>
        <v>230</v>
      </c>
      <c r="K17" s="44">
        <f t="shared" ref="K17" si="16">K11*K15/K16</f>
        <v>276</v>
      </c>
    </row>
    <row r="18" spans="1:11" ht="30">
      <c r="A18" s="43" t="s">
        <v>220</v>
      </c>
      <c r="B18" s="6" t="s">
        <v>215</v>
      </c>
      <c r="C18" s="45">
        <f>C13*C15/C16</f>
        <v>19.402022178104751</v>
      </c>
      <c r="D18" s="45">
        <f t="shared" ref="D18:I18" si="17">D13*D15/D16</f>
        <v>38.804044356209502</v>
      </c>
      <c r="E18" s="45">
        <f t="shared" si="17"/>
        <v>58.206066534314246</v>
      </c>
      <c r="F18" s="45">
        <f t="shared" si="17"/>
        <v>77.608088712419004</v>
      </c>
      <c r="G18" s="45">
        <f t="shared" si="17"/>
        <v>116.41213306862849</v>
      </c>
      <c r="H18" s="45">
        <f t="shared" si="17"/>
        <v>135.81415524673324</v>
      </c>
      <c r="I18" s="45">
        <f t="shared" si="17"/>
        <v>155.21617742483801</v>
      </c>
      <c r="J18" s="45">
        <f t="shared" ref="J18:K18" si="18">J13*J15/J16</f>
        <v>194.0202217810475</v>
      </c>
      <c r="K18" s="45">
        <f t="shared" si="18"/>
        <v>232.82426613725698</v>
      </c>
    </row>
    <row r="19" spans="1:11" ht="30">
      <c r="A19" s="7" t="s">
        <v>222</v>
      </c>
      <c r="B19" t="s">
        <v>221</v>
      </c>
      <c r="C19" s="44">
        <f>C12*C15*C15/C16/C16</f>
        <v>12.696</v>
      </c>
      <c r="D19" s="44">
        <f t="shared" ref="D19:I19" si="19">D12*D15*D15/D16/D16</f>
        <v>12.696</v>
      </c>
      <c r="E19" s="44">
        <f t="shared" si="19"/>
        <v>12.696</v>
      </c>
      <c r="F19" s="44">
        <f t="shared" si="19"/>
        <v>12.696</v>
      </c>
      <c r="G19" s="44">
        <f t="shared" si="19"/>
        <v>12.696</v>
      </c>
      <c r="H19" s="44">
        <f t="shared" si="19"/>
        <v>12.696</v>
      </c>
      <c r="I19" s="44">
        <f t="shared" si="19"/>
        <v>12.696</v>
      </c>
      <c r="J19" s="44">
        <f t="shared" ref="J19:K19" si="20">J12*J15*J15/J16/J16</f>
        <v>12.696</v>
      </c>
      <c r="K19" s="44">
        <f t="shared" si="20"/>
        <v>12.696</v>
      </c>
    </row>
    <row r="20" spans="1:11" ht="30">
      <c r="A20" s="43" t="s">
        <v>223</v>
      </c>
      <c r="B20" s="6" t="s">
        <v>221</v>
      </c>
      <c r="C20" s="45">
        <f>C14*C15*C15/C16/C16</f>
        <v>15.232039508537721</v>
      </c>
      <c r="D20" s="45">
        <f t="shared" ref="D20:I20" si="21">D14*D15*D15/D16/D16</f>
        <v>15.232039508537721</v>
      </c>
      <c r="E20" s="45">
        <f t="shared" si="21"/>
        <v>15.232039508537721</v>
      </c>
      <c r="F20" s="45">
        <f t="shared" si="21"/>
        <v>15.232039508537721</v>
      </c>
      <c r="G20" s="45">
        <f t="shared" si="21"/>
        <v>15.232039508537721</v>
      </c>
      <c r="H20" s="45">
        <f t="shared" si="21"/>
        <v>15.232039508537721</v>
      </c>
      <c r="I20" s="45">
        <f t="shared" si="21"/>
        <v>15.232039508537721</v>
      </c>
      <c r="J20" s="45">
        <f t="shared" ref="J20:K20" si="22">J14*J15*J15/J16/J16</f>
        <v>15.232039508537721</v>
      </c>
      <c r="K20" s="45">
        <f t="shared" si="22"/>
        <v>15.232039508537721</v>
      </c>
    </row>
    <row r="22" spans="1:11">
      <c r="A22" s="7" t="s">
        <v>224</v>
      </c>
      <c r="C22" s="44">
        <f>C7/SQRT(C5)</f>
        <v>41897.219461798857</v>
      </c>
      <c r="D22" s="44">
        <f t="shared" ref="D22:I22" si="23">D7/SQRT(D5)</f>
        <v>41897.219461798857</v>
      </c>
      <c r="E22" s="44">
        <f t="shared" si="23"/>
        <v>41897.219461798857</v>
      </c>
      <c r="F22" s="44">
        <f t="shared" si="23"/>
        <v>41897.219461798857</v>
      </c>
      <c r="G22" s="44">
        <f t="shared" si="23"/>
        <v>41897.219461798857</v>
      </c>
      <c r="H22" s="44">
        <f t="shared" si="23"/>
        <v>41897.219461798857</v>
      </c>
      <c r="I22" s="44">
        <f t="shared" si="23"/>
        <v>41897.219461798857</v>
      </c>
      <c r="J22" s="44">
        <f t="shared" ref="J22:K22" si="24">J7/SQRT(J5)</f>
        <v>41897.219461798857</v>
      </c>
      <c r="K22" s="44">
        <f t="shared" si="24"/>
        <v>41897.219461798857</v>
      </c>
    </row>
    <row r="23" spans="1:11">
      <c r="A23" s="7" t="s">
        <v>225</v>
      </c>
      <c r="C23" s="44">
        <f>C6/SQRT(C4)</f>
        <v>44707.537586364881</v>
      </c>
      <c r="D23" s="44">
        <f t="shared" ref="D23:I23" si="25">D6/SQRT(D4)</f>
        <v>44707.537586364881</v>
      </c>
      <c r="E23" s="44">
        <f t="shared" si="25"/>
        <v>44707.537586364881</v>
      </c>
      <c r="F23" s="44">
        <f t="shared" si="25"/>
        <v>44707.537586364881</v>
      </c>
      <c r="G23" s="44">
        <f t="shared" si="25"/>
        <v>44707.537586364881</v>
      </c>
      <c r="H23" s="44">
        <f t="shared" si="25"/>
        <v>44707.537586364881</v>
      </c>
      <c r="I23" s="44">
        <f t="shared" si="25"/>
        <v>44707.537586364881</v>
      </c>
      <c r="J23" s="44">
        <f t="shared" ref="J23:K23" si="26">J6/SQRT(J4)</f>
        <v>44707.537586364881</v>
      </c>
      <c r="K23" s="44">
        <f t="shared" si="26"/>
        <v>44707.537586364881</v>
      </c>
    </row>
    <row r="24" spans="1:11">
      <c r="A24" s="7" t="s">
        <v>226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3">
    <pageSetUpPr fitToPage="1"/>
  </sheetPr>
  <dimension ref="A1:H224"/>
  <sheetViews>
    <sheetView topLeftCell="A88" zoomScaleNormal="100" workbookViewId="0">
      <selection activeCell="B40" sqref="B40"/>
    </sheetView>
  </sheetViews>
  <sheetFormatPr defaultRowHeight="15"/>
  <cols>
    <col min="1" max="1" width="47.7109375" style="7" bestFit="1" customWidth="1"/>
    <col min="2" max="4" width="16.5703125" customWidth="1"/>
    <col min="5" max="5" width="10.85546875" bestFit="1" customWidth="1"/>
    <col min="6" max="6" width="9.5703125" bestFit="1" customWidth="1"/>
  </cols>
  <sheetData>
    <row r="1" spans="1:3">
      <c r="A1" s="62" t="s">
        <v>119</v>
      </c>
      <c r="B1" s="19" t="s">
        <v>311</v>
      </c>
    </row>
    <row r="2" spans="1:3">
      <c r="A2" s="7" t="s">
        <v>75</v>
      </c>
      <c r="B2" s="1">
        <v>1</v>
      </c>
    </row>
    <row r="3" spans="1:3">
      <c r="A3" s="7" t="s">
        <v>460</v>
      </c>
      <c r="B3" s="1">
        <v>1</v>
      </c>
    </row>
    <row r="5" spans="1:3">
      <c r="A5" s="43" t="s">
        <v>76</v>
      </c>
    </row>
    <row r="6" spans="1:3">
      <c r="A6" s="7" t="s">
        <v>46</v>
      </c>
    </row>
    <row r="7" spans="1:3">
      <c r="A7" s="7" t="s">
        <v>47</v>
      </c>
      <c r="B7" t="s">
        <v>48</v>
      </c>
    </row>
    <row r="8" spans="1:3">
      <c r="A8" s="7" t="s">
        <v>49</v>
      </c>
      <c r="B8" t="s">
        <v>51</v>
      </c>
      <c r="C8" t="s">
        <v>50</v>
      </c>
    </row>
    <row r="9" spans="1:3">
      <c r="A9" s="7" t="s">
        <v>52</v>
      </c>
      <c r="B9" s="1">
        <v>75.48</v>
      </c>
      <c r="C9" s="60"/>
    </row>
    <row r="10" spans="1:3">
      <c r="A10" s="7" t="s">
        <v>53</v>
      </c>
      <c r="B10" s="1">
        <v>15.32</v>
      </c>
      <c r="C10" s="60"/>
    </row>
    <row r="11" spans="1:3">
      <c r="A11" s="7" t="s">
        <v>54</v>
      </c>
      <c r="B11" s="1">
        <v>3.05</v>
      </c>
      <c r="C11" s="65">
        <v>0</v>
      </c>
    </row>
    <row r="12" spans="1:3">
      <c r="A12" s="7" t="s">
        <v>55</v>
      </c>
      <c r="B12" s="1">
        <v>1.5</v>
      </c>
      <c r="C12" s="65">
        <v>0</v>
      </c>
    </row>
    <row r="13" spans="1:3">
      <c r="A13" s="7" t="s">
        <v>56</v>
      </c>
      <c r="B13" s="1">
        <v>0.66</v>
      </c>
      <c r="C13" s="65">
        <v>0</v>
      </c>
    </row>
    <row r="14" spans="1:3">
      <c r="A14" s="7" t="s">
        <v>57</v>
      </c>
      <c r="B14" s="1">
        <v>0</v>
      </c>
      <c r="C14" s="65">
        <v>0</v>
      </c>
    </row>
    <row r="15" spans="1:3">
      <c r="A15" s="7" t="s">
        <v>58</v>
      </c>
      <c r="B15" s="1">
        <v>0</v>
      </c>
      <c r="C15" s="65">
        <v>0</v>
      </c>
    </row>
    <row r="16" spans="1:3">
      <c r="A16" s="7" t="s">
        <v>59</v>
      </c>
      <c r="B16" s="1">
        <v>0</v>
      </c>
      <c r="C16" s="65">
        <v>0</v>
      </c>
    </row>
    <row r="17" spans="1:3">
      <c r="A17" s="7" t="s">
        <v>60</v>
      </c>
      <c r="B17" s="1">
        <v>0</v>
      </c>
      <c r="C17" s="65">
        <v>0</v>
      </c>
    </row>
    <row r="18" spans="1:3">
      <c r="A18" s="7" t="s">
        <v>61</v>
      </c>
      <c r="B18" s="1">
        <v>0</v>
      </c>
      <c r="C18" s="65">
        <v>0</v>
      </c>
    </row>
    <row r="19" spans="1:3">
      <c r="A19" s="7" t="s">
        <v>62</v>
      </c>
      <c r="B19" s="1">
        <v>0</v>
      </c>
      <c r="C19" s="65">
        <v>0</v>
      </c>
    </row>
    <row r="20" spans="1:3">
      <c r="A20" s="7" t="s">
        <v>63</v>
      </c>
      <c r="B20" s="1">
        <v>0</v>
      </c>
      <c r="C20" s="65">
        <v>0</v>
      </c>
    </row>
    <row r="21" spans="1:3">
      <c r="A21" s="7" t="s">
        <v>64</v>
      </c>
      <c r="B21" s="1">
        <v>0</v>
      </c>
      <c r="C21" s="65">
        <v>0</v>
      </c>
    </row>
    <row r="22" spans="1:3">
      <c r="A22" s="7" t="s">
        <v>65</v>
      </c>
      <c r="B22" s="1">
        <v>0</v>
      </c>
      <c r="C22" s="65">
        <v>0</v>
      </c>
    </row>
    <row r="23" spans="1:3">
      <c r="A23" s="7" t="s">
        <v>66</v>
      </c>
      <c r="B23" s="1">
        <v>0.1</v>
      </c>
      <c r="C23" s="65">
        <v>0</v>
      </c>
    </row>
    <row r="24" spans="1:3">
      <c r="A24" s="7" t="s">
        <v>67</v>
      </c>
      <c r="B24" s="1">
        <v>0</v>
      </c>
      <c r="C24" s="65">
        <v>0</v>
      </c>
    </row>
    <row r="25" spans="1:3">
      <c r="A25" s="7" t="s">
        <v>68</v>
      </c>
      <c r="B25" s="1">
        <v>0</v>
      </c>
      <c r="C25" s="65">
        <v>0</v>
      </c>
    </row>
    <row r="26" spans="1:3">
      <c r="A26" s="7" t="s">
        <v>69</v>
      </c>
      <c r="B26" s="1">
        <v>3.59</v>
      </c>
      <c r="C26" s="65">
        <v>0</v>
      </c>
    </row>
    <row r="27" spans="1:3">
      <c r="A27" s="7" t="s">
        <v>70</v>
      </c>
      <c r="B27" s="1">
        <v>0</v>
      </c>
      <c r="C27" s="65">
        <v>0</v>
      </c>
    </row>
    <row r="28" spans="1:3">
      <c r="A28" s="7" t="s">
        <v>71</v>
      </c>
      <c r="B28" s="1">
        <v>0</v>
      </c>
      <c r="C28" s="65">
        <v>0</v>
      </c>
    </row>
    <row r="29" spans="1:3">
      <c r="A29" s="7" t="s">
        <v>73</v>
      </c>
      <c r="B29" s="1">
        <v>0</v>
      </c>
      <c r="C29" s="65">
        <v>0</v>
      </c>
    </row>
    <row r="30" spans="1:3">
      <c r="A30" s="7" t="s">
        <v>72</v>
      </c>
      <c r="B30" s="1">
        <v>0</v>
      </c>
      <c r="C30" s="65">
        <v>0</v>
      </c>
    </row>
    <row r="31" spans="1:3">
      <c r="A31" s="7" t="s">
        <v>74</v>
      </c>
      <c r="B31" s="1">
        <v>0</v>
      </c>
      <c r="C31" s="65">
        <v>0</v>
      </c>
    </row>
    <row r="32" spans="1:3">
      <c r="A32" s="7" t="s">
        <v>83</v>
      </c>
      <c r="B32" s="65">
        <f>SUM(B9:B31)</f>
        <v>99.7</v>
      </c>
      <c r="C32" s="65">
        <f>SUM(C9:C31)</f>
        <v>0</v>
      </c>
    </row>
    <row r="33" spans="1:8" s="66" customFormat="1">
      <c r="A33" s="120"/>
    </row>
    <row r="34" spans="1:8" s="66" customFormat="1">
      <c r="A34" s="120" t="s">
        <v>471</v>
      </c>
      <c r="B34" s="1">
        <v>10</v>
      </c>
    </row>
    <row r="36" spans="1:8">
      <c r="A36" s="7" t="s">
        <v>90</v>
      </c>
      <c r="B36" s="8">
        <v>43801.2</v>
      </c>
    </row>
    <row r="37" spans="1:8">
      <c r="A37" s="7" t="s">
        <v>229</v>
      </c>
      <c r="B37" s="67">
        <f>f_b_003_f_03_QnrFuelGas(B9,B10,B11,B12,B13,B14,B15,B16,B17,B18,B19,B20,B21,B22,B23,B24,B25,B26,B27,B28,B29,B30,B31)/1000</f>
        <v>42675.964000000007</v>
      </c>
      <c r="C37" s="9">
        <f>B37/B39</f>
        <v>46835.823486874906</v>
      </c>
      <c r="E37" s="9">
        <f>B37/4.1868</f>
        <v>10192.97888602274</v>
      </c>
      <c r="F37" t="s">
        <v>469</v>
      </c>
      <c r="G37" s="9">
        <f>C37/4.1868</f>
        <v>11186.54425500977</v>
      </c>
      <c r="H37" t="s">
        <v>470</v>
      </c>
    </row>
    <row r="38" spans="1:8">
      <c r="A38" s="7" t="s">
        <v>82</v>
      </c>
      <c r="B38" s="8"/>
    </row>
    <row r="39" spans="1:8">
      <c r="A39" s="7" t="s">
        <v>227</v>
      </c>
      <c r="B39" s="60">
        <f>f_b_003_f_02_DensityFuelGas(B9,B10,B11,B12,B13,B14,B15,B16,B17,B18,B19,B20,B21,B22,B23,B24,B25,B26,B27,B28,B29,B30,B31)</f>
        <v>0.91118210000000011</v>
      </c>
    </row>
    <row r="40" spans="1:8">
      <c r="A40" s="7" t="s">
        <v>494</v>
      </c>
      <c r="B40" s="127">
        <v>100</v>
      </c>
    </row>
    <row r="41" spans="1:8">
      <c r="A41" s="7" t="s">
        <v>493</v>
      </c>
      <c r="B41" s="60">
        <f>f_b_003_f_30_cFuelGas(B9,B10,B11,B12,B13,B14,B15,B16,B17,B18,B19,B20,B21,B22,B23,B24,B25,B26,B27,B28,B29,B30,B31,B34,B40)</f>
        <v>1.8976047391304349</v>
      </c>
    </row>
    <row r="42" spans="1:8" ht="30">
      <c r="A42" s="7" t="s">
        <v>546</v>
      </c>
      <c r="B42" s="122">
        <f>f_b_003_f_33_Cr_Hr(B9,B10,B11,B12,B13,B14,B15,B16,B17,B18,B19,B20,B21,B22)</f>
        <v>3.1194500000000001</v>
      </c>
    </row>
    <row r="44" spans="1:8">
      <c r="A44" s="43" t="s">
        <v>77</v>
      </c>
      <c r="B44" s="20" t="s">
        <v>325</v>
      </c>
      <c r="C44" s="20" t="s">
        <v>323</v>
      </c>
      <c r="D44" s="20" t="s">
        <v>324</v>
      </c>
    </row>
    <row r="45" spans="1:8">
      <c r="A45" s="7" t="s">
        <v>46</v>
      </c>
    </row>
    <row r="46" spans="1:8">
      <c r="A46" s="7" t="s">
        <v>47</v>
      </c>
      <c r="B46" t="s">
        <v>78</v>
      </c>
    </row>
    <row r="47" spans="1:8">
      <c r="A47" s="7" t="s">
        <v>79</v>
      </c>
      <c r="B47" t="s">
        <v>80</v>
      </c>
    </row>
    <row r="48" spans="1:8">
      <c r="A48" s="7" t="s">
        <v>84</v>
      </c>
      <c r="B48" s="67">
        <f>C48*100/(100-C54)</f>
        <v>85.567010309278345</v>
      </c>
      <c r="C48" s="1">
        <v>83</v>
      </c>
      <c r="D48" s="67">
        <f>C48*100/(100-C54-C53)</f>
        <v>85.655314757481932</v>
      </c>
    </row>
    <row r="49" spans="1:4">
      <c r="A49" s="7" t="s">
        <v>85</v>
      </c>
      <c r="B49" s="67">
        <f>C49*100/(100-C54)</f>
        <v>10.721649484536082</v>
      </c>
      <c r="C49" s="1">
        <v>10.4</v>
      </c>
      <c r="D49" s="67">
        <f>C49*100/(100-C54-C53)</f>
        <v>10.732714138286893</v>
      </c>
    </row>
    <row r="50" spans="1:4">
      <c r="A50" s="7" t="s">
        <v>86</v>
      </c>
      <c r="B50" s="67">
        <f>C50*100/(100-C54)</f>
        <v>0</v>
      </c>
      <c r="C50" s="1">
        <v>0</v>
      </c>
      <c r="D50" s="67">
        <f>C50*100/(100-C54-C53)</f>
        <v>0</v>
      </c>
    </row>
    <row r="51" spans="1:4">
      <c r="A51" s="7" t="s">
        <v>87</v>
      </c>
      <c r="B51" s="67">
        <f>C51*100/(100-C54)</f>
        <v>0.72164948453608246</v>
      </c>
      <c r="C51" s="1">
        <v>0.7</v>
      </c>
      <c r="D51" s="67">
        <f>C51*100/(100-C53-C54)</f>
        <v>0.72239422084623317</v>
      </c>
    </row>
    <row r="52" spans="1:4">
      <c r="A52" s="7" t="s">
        <v>88</v>
      </c>
      <c r="B52" s="67">
        <f>C52*100/(100-C54)</f>
        <v>2.8865979381443299</v>
      </c>
      <c r="C52" s="1">
        <v>2.8</v>
      </c>
      <c r="D52" s="67">
        <f>C52*100/(100-C53-C54)</f>
        <v>2.8895768833849327</v>
      </c>
    </row>
    <row r="53" spans="1:4">
      <c r="A53" s="7" t="s">
        <v>89</v>
      </c>
      <c r="B53" s="67">
        <f>C53*100/(100-C54)</f>
        <v>0.10309278350515463</v>
      </c>
      <c r="C53" s="1">
        <v>0.1</v>
      </c>
    </row>
    <row r="54" spans="1:4">
      <c r="A54" s="7" t="s">
        <v>304</v>
      </c>
      <c r="B54" s="66" t="s">
        <v>121</v>
      </c>
      <c r="C54" s="1">
        <v>3</v>
      </c>
    </row>
    <row r="55" spans="1:4">
      <c r="A55" s="7" t="s">
        <v>83</v>
      </c>
      <c r="B55" s="65">
        <f>SUM(B48:B54)</f>
        <v>100.00000000000001</v>
      </c>
      <c r="C55" s="65">
        <f>SUM(C48:C54)</f>
        <v>100</v>
      </c>
      <c r="D55" s="65">
        <f>SUM(D48:D54)</f>
        <v>99.999999999999986</v>
      </c>
    </row>
    <row r="57" spans="1:4">
      <c r="A57" s="7" t="s">
        <v>81</v>
      </c>
      <c r="B57" s="67">
        <f>f_b_003_f_03_QnrFuelOil(B48,B49,B51,B52)/1000</f>
        <v>42720.408247422674</v>
      </c>
      <c r="C57" s="67">
        <f>f_b_003_f_03_QnrFuelOil(C48,C49,C51,C52)/1000</f>
        <v>41438.796000000002</v>
      </c>
      <c r="D57" s="67">
        <f>f_b_003_f_03_QnrFuelOil(D48,D49,D51,D52)/1000</f>
        <v>42764.49535603715</v>
      </c>
    </row>
    <row r="58" spans="1:4">
      <c r="A58" s="7" t="s">
        <v>82</v>
      </c>
      <c r="B58">
        <v>2.27</v>
      </c>
    </row>
    <row r="59" spans="1:4">
      <c r="A59" s="7" t="s">
        <v>228</v>
      </c>
      <c r="B59" s="1">
        <v>850</v>
      </c>
    </row>
    <row r="60" spans="1:4" ht="30">
      <c r="A60" s="7" t="s">
        <v>547</v>
      </c>
      <c r="B60" s="122">
        <f>C48/C49</f>
        <v>7.9807692307692308</v>
      </c>
    </row>
    <row r="62" spans="1:4">
      <c r="A62" s="7" t="s">
        <v>91</v>
      </c>
      <c r="B62" s="1"/>
    </row>
    <row r="63" spans="1:4">
      <c r="A63" s="7" t="s">
        <v>92</v>
      </c>
      <c r="B63" s="1">
        <v>150</v>
      </c>
    </row>
    <row r="64" spans="1:4" ht="30">
      <c r="A64" s="7" t="s">
        <v>93</v>
      </c>
      <c r="B64" s="1">
        <v>60</v>
      </c>
    </row>
    <row r="65" spans="1:2" ht="30">
      <c r="A65" s="7" t="s">
        <v>94</v>
      </c>
      <c r="B65" s="1">
        <v>95</v>
      </c>
    </row>
    <row r="66" spans="1:2">
      <c r="A66" s="7" t="s">
        <v>321</v>
      </c>
      <c r="B66" s="1">
        <v>40</v>
      </c>
    </row>
    <row r="67" spans="1:2" ht="30">
      <c r="A67" s="7" t="s">
        <v>330</v>
      </c>
      <c r="B67" s="60">
        <f>B66/B63</f>
        <v>0.26666666666666666</v>
      </c>
    </row>
    <row r="68" spans="1:2" ht="30">
      <c r="A68" s="7" t="s">
        <v>320</v>
      </c>
      <c r="B68" s="1">
        <v>220</v>
      </c>
    </row>
    <row r="69" spans="1:2">
      <c r="A69" s="7" t="s">
        <v>322</v>
      </c>
      <c r="B69" s="1">
        <v>2500</v>
      </c>
    </row>
    <row r="70" spans="1:2">
      <c r="B70" s="66"/>
    </row>
    <row r="71" spans="1:2">
      <c r="B71" s="66"/>
    </row>
    <row r="72" spans="1:2" ht="31.5">
      <c r="A72" s="61" t="s">
        <v>315</v>
      </c>
      <c r="B72" s="68">
        <v>1</v>
      </c>
    </row>
    <row r="73" spans="1:2" ht="31.5">
      <c r="A73" s="63" t="s">
        <v>318</v>
      </c>
      <c r="B73" s="68">
        <v>1</v>
      </c>
    </row>
    <row r="74" spans="1:2" ht="15.75">
      <c r="A74" s="61"/>
      <c r="B74" s="40"/>
    </row>
    <row r="75" spans="1:2" ht="31.5">
      <c r="A75" s="61" t="s">
        <v>308</v>
      </c>
      <c r="B75" s="68">
        <v>0.05</v>
      </c>
    </row>
    <row r="76" spans="1:2" ht="15.75">
      <c r="A76" s="61" t="s">
        <v>309</v>
      </c>
      <c r="B76" s="69">
        <v>0</v>
      </c>
    </row>
    <row r="77" spans="1:2" ht="15.75">
      <c r="A77" s="61" t="s">
        <v>803</v>
      </c>
      <c r="B77" s="69">
        <v>0.03</v>
      </c>
    </row>
    <row r="78" spans="1:2" ht="15.75">
      <c r="A78" s="61"/>
      <c r="B78" s="40"/>
    </row>
    <row r="79" spans="1:2" ht="31.5">
      <c r="A79" s="61" t="s">
        <v>310</v>
      </c>
      <c r="B79" s="68">
        <v>1.1499999999999999</v>
      </c>
    </row>
    <row r="80" spans="1:2" ht="31.5">
      <c r="A80" s="61" t="s">
        <v>312</v>
      </c>
      <c r="B80" s="70">
        <f>B79+B75</f>
        <v>1.2</v>
      </c>
    </row>
    <row r="81" spans="1:2" ht="31.5">
      <c r="A81" s="61" t="s">
        <v>313</v>
      </c>
      <c r="B81" s="70">
        <f>B80+B76</f>
        <v>1.2</v>
      </c>
    </row>
    <row r="82" spans="1:2" ht="31.5">
      <c r="A82" s="123" t="s">
        <v>804</v>
      </c>
      <c r="B82" s="70">
        <f>B81+B77</f>
        <v>1.23</v>
      </c>
    </row>
    <row r="83" spans="1:2" ht="31.5">
      <c r="A83" s="61" t="s">
        <v>314</v>
      </c>
      <c r="B83" s="71">
        <f>f_b_003_f_17_AlfaPCMaxGOST(B72,B73)</f>
        <v>1.2</v>
      </c>
    </row>
    <row r="84" spans="1:2" ht="15.75">
      <c r="A84" s="59" t="s">
        <v>337</v>
      </c>
      <c r="B84" s="68">
        <v>0.95</v>
      </c>
    </row>
    <row r="85" spans="1:2">
      <c r="B85" s="66"/>
    </row>
    <row r="86" spans="1:2" ht="47.25">
      <c r="A86" s="64" t="s">
        <v>461</v>
      </c>
      <c r="B86" s="66"/>
    </row>
    <row r="87" spans="1:2" ht="31.5">
      <c r="A87" s="61" t="s">
        <v>462</v>
      </c>
      <c r="B87" s="121">
        <f>f_b_003_f_02_DensityFuelGas(B9,B10,B11,B12,B13,B14,B15,B16,B17,B18,B19,B20,B21,B22,B23,B24,B25,B26,B27,B28,B29,B30,B31)</f>
        <v>0.91118210000000011</v>
      </c>
    </row>
    <row r="88" spans="1:2" ht="15.75">
      <c r="A88" s="61" t="s">
        <v>463</v>
      </c>
      <c r="B88" s="60">
        <f>f_b_003_f_19_V0PCFuelGas(B9,B10,B11,B12,B13,B14,B15,B16,B17,B18,B19,B20,B21,B22,B23,B24,B25,B29)</f>
        <v>11.181716000000002</v>
      </c>
    </row>
    <row r="89" spans="1:2" ht="15.75">
      <c r="A89" s="61" t="s">
        <v>298</v>
      </c>
      <c r="B89" s="60">
        <f>B88/B87</f>
        <v>12.271658980131415</v>
      </c>
    </row>
    <row r="90" spans="1:2" ht="15.75">
      <c r="A90" s="61" t="s">
        <v>299</v>
      </c>
      <c r="B90" s="60">
        <f>B89*1.293</f>
        <v>15.867255061309919</v>
      </c>
    </row>
    <row r="91" spans="1:2" ht="15.75">
      <c r="A91" s="61" t="s">
        <v>464</v>
      </c>
      <c r="B91" s="60">
        <f>f_b_003_f_20_VRO20PCFuelGas(B9,B10,B11,B12,B13,B14,B15,B16,B17,B18,B19,B20,B21,B22,B23,B24,B29,B30,B31)</f>
        <v>1.2467000000000001</v>
      </c>
    </row>
    <row r="92" spans="1:2" ht="15.75">
      <c r="A92" s="61" t="s">
        <v>300</v>
      </c>
      <c r="B92" s="60">
        <f>B91/B87</f>
        <v>1.3682226637244082</v>
      </c>
    </row>
    <row r="93" spans="1:2" ht="15.75">
      <c r="A93" s="61" t="s">
        <v>301</v>
      </c>
      <c r="B93" s="60">
        <f>1.963*B92</f>
        <v>2.6858210888910135</v>
      </c>
    </row>
    <row r="94" spans="1:2" ht="15.75">
      <c r="A94" s="61" t="s">
        <v>465</v>
      </c>
      <c r="B94" s="60">
        <f>f_b_003_f_21_V0N2PCFuelGas(B88,B26)</f>
        <v>8.8371456400000028</v>
      </c>
    </row>
    <row r="95" spans="1:2" ht="15.75">
      <c r="A95" s="61" t="s">
        <v>302</v>
      </c>
      <c r="B95" s="60">
        <f>B94/B87</f>
        <v>9.6985505312275144</v>
      </c>
    </row>
    <row r="96" spans="1:2" ht="15.75">
      <c r="A96" s="61" t="s">
        <v>303</v>
      </c>
      <c r="B96" s="60">
        <f>1.25*B95</f>
        <v>12.123188164034392</v>
      </c>
    </row>
    <row r="97" spans="1:5" ht="31.5">
      <c r="A97" s="61" t="s">
        <v>466</v>
      </c>
      <c r="B97" s="122">
        <f>f_b_003_f_22_V0H2OPCFuelGas(B9,B10,B11,B12,B13,B14,B15,B16,B17,B18,B19,B20,B21,B22,B23,B24,B28,B34,B88)</f>
        <v>2.3992256276000004</v>
      </c>
    </row>
    <row r="98" spans="1:5" ht="31.5">
      <c r="A98" s="63" t="s">
        <v>305</v>
      </c>
      <c r="B98" s="122">
        <f>B97/B87</f>
        <v>2.633091264194062</v>
      </c>
    </row>
    <row r="99" spans="1:5" ht="31.5">
      <c r="A99" s="63" t="s">
        <v>306</v>
      </c>
      <c r="B99" s="122">
        <f>0.805*B98</f>
        <v>2.1196384676762201</v>
      </c>
    </row>
    <row r="100" spans="1:5" ht="15.75">
      <c r="A100" s="61"/>
      <c r="B100" s="66"/>
    </row>
    <row r="101" spans="1:5" ht="15.75">
      <c r="A101" s="61"/>
      <c r="B101" s="66"/>
    </row>
    <row r="102" spans="1:5" ht="15.75">
      <c r="A102" s="61"/>
      <c r="B102" s="107" t="s">
        <v>121</v>
      </c>
      <c r="C102" s="107" t="s">
        <v>316</v>
      </c>
      <c r="D102" t="s">
        <v>317</v>
      </c>
      <c r="E102" t="s">
        <v>644</v>
      </c>
    </row>
    <row r="103" spans="1:5" ht="15.75">
      <c r="A103" s="61" t="s">
        <v>307</v>
      </c>
      <c r="B103" s="65">
        <v>1</v>
      </c>
      <c r="C103" s="65">
        <f>B80</f>
        <v>1.2</v>
      </c>
      <c r="D103" s="65">
        <f>0.5*(B80+B81)</f>
        <v>1.2</v>
      </c>
      <c r="E103" s="65">
        <f>0.5*(B81+B82)</f>
        <v>1.2149999999999999</v>
      </c>
    </row>
    <row r="104" spans="1:5" ht="15.75">
      <c r="A104" s="61" t="s">
        <v>467</v>
      </c>
      <c r="B104" s="60">
        <f>f_b_003_f_12_VH2OPCFuelOil(B97,B88,B103)</f>
        <v>2.3992256276000004</v>
      </c>
      <c r="C104" s="60">
        <f>f_b_003_f_12_VH2OPCFuelOil(B97,B88,C103)</f>
        <v>2.4352307531200004</v>
      </c>
      <c r="D104" s="60">
        <f>f_b_003_f_12_VH2OPCFuelOil(B97,B88,D103)</f>
        <v>2.4352307531200004</v>
      </c>
      <c r="E104" s="60">
        <f>f_b_003_f_12_VH2OPCFuelOil(B97,B88,E103)</f>
        <v>2.4379311375340005</v>
      </c>
    </row>
    <row r="105" spans="1:5" ht="15.75">
      <c r="A105" s="61" t="s">
        <v>319</v>
      </c>
      <c r="B105" s="60">
        <f>B104/B87</f>
        <v>2.633091264194062</v>
      </c>
      <c r="C105" s="60">
        <f>C104/B87</f>
        <v>2.6726060061100849</v>
      </c>
      <c r="D105" s="60">
        <f>D104/B87</f>
        <v>2.6726060061100849</v>
      </c>
      <c r="E105" s="60">
        <f>E104/B87</f>
        <v>2.675569611753787</v>
      </c>
    </row>
    <row r="106" spans="1:5" ht="15.75">
      <c r="A106" s="61" t="s">
        <v>326</v>
      </c>
      <c r="B106" s="60">
        <f>0.805*B105</f>
        <v>2.1196384676762201</v>
      </c>
      <c r="C106" s="60">
        <f t="shared" ref="C106:E106" si="0">0.805*C105</f>
        <v>2.1514478349186184</v>
      </c>
      <c r="D106" s="60">
        <f t="shared" si="0"/>
        <v>2.1514478349186184</v>
      </c>
      <c r="E106" s="60">
        <f t="shared" si="0"/>
        <v>2.1538335374617987</v>
      </c>
    </row>
    <row r="107" spans="1:5" ht="15.75">
      <c r="A107" s="61" t="s">
        <v>468</v>
      </c>
      <c r="B107" s="60">
        <f>f_b_003_f_14_VPCFuelOil(B91,B94,B104,B88,B103)</f>
        <v>12.483071267600003</v>
      </c>
      <c r="C107" s="60">
        <f>f_b_003_f_14_VPCFuelOil(B91,B94,C104,B88,C103)</f>
        <v>14.755419593120005</v>
      </c>
      <c r="D107" s="60">
        <f>f_b_003_f_14_VPCFuelOil(B91,B94,D104,B88,D103)</f>
        <v>14.755419593120005</v>
      </c>
      <c r="E107" s="60">
        <f>f_b_003_f_14_VPCFuelOil(B91,B94,E104,B88,E103)</f>
        <v>14.925845717534003</v>
      </c>
    </row>
    <row r="108" spans="1:5" ht="15.75">
      <c r="A108" s="61" t="s">
        <v>327</v>
      </c>
      <c r="B108" s="60">
        <f>B107/B87</f>
        <v>13.699864459145983</v>
      </c>
      <c r="C108" s="60">
        <f>C107/B87</f>
        <v>16.193710997088292</v>
      </c>
      <c r="D108" s="60">
        <f>D107/B87</f>
        <v>16.193710997088292</v>
      </c>
      <c r="E108" s="60">
        <f>E107/B87</f>
        <v>16.380749487433963</v>
      </c>
    </row>
    <row r="109" spans="1:5" ht="15.75">
      <c r="A109" s="61" t="s">
        <v>328</v>
      </c>
      <c r="B109" s="60">
        <f>f_b_003_f_23_GPCFuelGas(B93,B96,B106,B90,B103)</f>
        <v>16.928647720601628</v>
      </c>
      <c r="C109" s="60">
        <f>f_b_003_f_23_GPCFuelGas(B93,B96,C106,B90,C103)</f>
        <v>20.133908100106005</v>
      </c>
      <c r="D109" s="60">
        <f>f_b_003_f_23_GPCFuelGas(B93,B96,D106,B90,D103)</f>
        <v>20.133908100106005</v>
      </c>
      <c r="E109" s="60">
        <f>f_b_003_f_23_GPCFuelGas(B93,B96,E106,B90,E103)</f>
        <v>20.374302628568838</v>
      </c>
    </row>
    <row r="110" spans="1:5" ht="15.75">
      <c r="A110" s="61" t="s">
        <v>328</v>
      </c>
      <c r="B110" s="60">
        <f>f_b_003_f_24_GPCFuelGas2(B34,B87,B88,B103)</f>
        <v>17.035898449051629</v>
      </c>
      <c r="C110" s="60">
        <f>f_b_003_f_24_GPCFuelGas2(B34,B87,B88,C103)</f>
        <v>20.241255774661951</v>
      </c>
      <c r="D110" s="60">
        <f>f_b_003_f_24_GPCFuelGas2(B34,B87,B88,D103)</f>
        <v>20.241255774661951</v>
      </c>
      <c r="E110" s="60">
        <f>f_b_003_f_24_GPCFuelGas2(B34,B87,B88,E103)</f>
        <v>20.481657574082728</v>
      </c>
    </row>
    <row r="111" spans="1:5" ht="15.75">
      <c r="A111" s="61" t="s">
        <v>472</v>
      </c>
      <c r="B111" s="60">
        <f>f_b_003_f_25_GPCFuelGas3(B34,B87,B88,B103)</f>
        <v>15.524503196000001</v>
      </c>
      <c r="C111" s="60">
        <f>f_b_003_f_25_GPCFuelGas3(B34,B87,B88,C103)</f>
        <v>18.4451674152</v>
      </c>
      <c r="D111" s="60">
        <f>f_b_003_f_25_GPCFuelGas3(B34,B87,B88,D103)</f>
        <v>18.4451674152</v>
      </c>
      <c r="E111" s="60">
        <f>f_b_003_f_25_GPCFuelGas3(B34,B87,B88,E103)</f>
        <v>18.664217231640002</v>
      </c>
    </row>
    <row r="112" spans="1:5" ht="31.5">
      <c r="A112" s="61" t="s">
        <v>331</v>
      </c>
      <c r="B112" s="60">
        <f>B91/B107</f>
        <v>9.9871255500705858E-2</v>
      </c>
      <c r="C112" s="60">
        <f>B91/C107</f>
        <v>8.4490989370529165E-2</v>
      </c>
      <c r="D112" s="60">
        <f>B91/D107</f>
        <v>8.4490989370529165E-2</v>
      </c>
      <c r="E112" s="60">
        <f>B91/E107</f>
        <v>8.3526255301932445E-2</v>
      </c>
    </row>
    <row r="113" spans="1:5" ht="31.5">
      <c r="A113" s="61" t="s">
        <v>332</v>
      </c>
      <c r="B113" s="60">
        <f>B93/B109</f>
        <v>0.15865538306538532</v>
      </c>
      <c r="C113" s="60">
        <f>B93/C109</f>
        <v>0.13339790146736949</v>
      </c>
      <c r="D113" s="60">
        <f>B93/D109</f>
        <v>0.13339790146736949</v>
      </c>
      <c r="E113" s="60">
        <f>B93/E109</f>
        <v>0.13182395186007281</v>
      </c>
    </row>
    <row r="114" spans="1:5" ht="31.5">
      <c r="A114" s="61" t="s">
        <v>333</v>
      </c>
      <c r="B114" s="60">
        <f>B104/B107</f>
        <v>0.19219834415487366</v>
      </c>
      <c r="C114" s="60">
        <f t="shared" ref="C114:E114" si="1">C104/C107</f>
        <v>0.16503974947994518</v>
      </c>
      <c r="D114" s="60">
        <f t="shared" si="1"/>
        <v>0.16503974947994518</v>
      </c>
      <c r="E114" s="60">
        <f t="shared" si="1"/>
        <v>0.16333621448800473</v>
      </c>
    </row>
    <row r="115" spans="1:5" ht="31.5">
      <c r="A115" s="61" t="s">
        <v>334</v>
      </c>
      <c r="B115" s="60">
        <f>B106/B109</f>
        <v>0.12521014688590201</v>
      </c>
      <c r="C115" s="60">
        <f t="shared" ref="C115:E115" si="2">C106/C109</f>
        <v>0.10685694124665697</v>
      </c>
      <c r="D115" s="60">
        <f t="shared" si="2"/>
        <v>0.10685694124665697</v>
      </c>
      <c r="E115" s="60">
        <f t="shared" si="2"/>
        <v>0.10571323969840785</v>
      </c>
    </row>
    <row r="116" spans="1:5" ht="15.75">
      <c r="A116" s="59" t="s">
        <v>335</v>
      </c>
      <c r="B116" s="60">
        <f>B112+B114</f>
        <v>0.29206959965557955</v>
      </c>
      <c r="C116" s="60">
        <f t="shared" ref="C116:E116" si="3">C112+C114</f>
        <v>0.24953073885047433</v>
      </c>
      <c r="D116" s="60">
        <f t="shared" si="3"/>
        <v>0.24953073885047433</v>
      </c>
      <c r="E116" s="60">
        <f t="shared" si="3"/>
        <v>0.24686246978993717</v>
      </c>
    </row>
    <row r="117" spans="1:5" ht="15.75">
      <c r="A117" s="59" t="s">
        <v>336</v>
      </c>
      <c r="B117" s="60">
        <f>B113+B115</f>
        <v>0.28386552995128733</v>
      </c>
      <c r="C117" s="60">
        <f t="shared" ref="C117:E117" si="4">C113+C115</f>
        <v>0.24025484271402647</v>
      </c>
      <c r="D117" s="60">
        <f t="shared" si="4"/>
        <v>0.24025484271402647</v>
      </c>
      <c r="E117" s="60">
        <f t="shared" si="4"/>
        <v>0.23753719155848066</v>
      </c>
    </row>
    <row r="118" spans="1:5">
      <c r="B118" s="66"/>
    </row>
    <row r="119" spans="1:5">
      <c r="B119" s="66"/>
    </row>
    <row r="121" spans="1:5" ht="47.25">
      <c r="A121" s="64" t="s">
        <v>297</v>
      </c>
    </row>
    <row r="122" spans="1:5" ht="15.75">
      <c r="A122" s="61" t="s">
        <v>298</v>
      </c>
      <c r="B122" s="60">
        <f>f_b_003_f_04_V0PCFuelOil(B48,B49,B51,B52)</f>
        <v>10.520345360824743</v>
      </c>
    </row>
    <row r="123" spans="1:5" ht="15.75">
      <c r="A123" s="61" t="s">
        <v>299</v>
      </c>
      <c r="B123" s="60">
        <f>f_b_003_f_05_L0PCFuelOil(B48,B49,B51,B52)</f>
        <v>13.297118556701031</v>
      </c>
    </row>
    <row r="124" spans="1:5" ht="15.75">
      <c r="A124" s="61" t="s">
        <v>300</v>
      </c>
      <c r="B124" s="60">
        <f>f_b_003_f_06_VRO20PCFuelOil(B48,B52)</f>
        <v>1.6168793814432991</v>
      </c>
    </row>
    <row r="125" spans="1:5" ht="15.75">
      <c r="A125" s="61" t="s">
        <v>301</v>
      </c>
      <c r="B125" s="60">
        <f>f_b_003_f_07_GRO20PCFuelOil(B48,B52)</f>
        <v>3.2750515463917522</v>
      </c>
    </row>
    <row r="126" spans="1:5" ht="15.75">
      <c r="A126" s="61" t="s">
        <v>302</v>
      </c>
      <c r="B126" s="60">
        <f>f_b_003_f_08_V0N2PCFuelOil(B122,B50)</f>
        <v>8.3110728350515473</v>
      </c>
    </row>
    <row r="127" spans="1:5" ht="15.75">
      <c r="A127" s="61" t="s">
        <v>303</v>
      </c>
      <c r="B127" s="60">
        <f>f_b_003_f_09_G0N2PCFuelOil(B123,B50)</f>
        <v>10.225484170103094</v>
      </c>
    </row>
    <row r="128" spans="1:5" ht="31.5">
      <c r="A128" s="63" t="s">
        <v>305</v>
      </c>
      <c r="B128" s="60">
        <f>f_b_003_f_10_V0H2OPCFuelOil(B122,B49,B50,B67)</f>
        <v>1.6901473197594501</v>
      </c>
    </row>
    <row r="129" spans="1:4" ht="31.5">
      <c r="A129" s="63" t="s">
        <v>306</v>
      </c>
      <c r="B129" s="60">
        <f>f_b_003_f_11_G0H2OPCFuelOil(B123,B49,B50,B67)</f>
        <v>1.3581533161512025</v>
      </c>
    </row>
    <row r="130" spans="1:4" ht="15.75">
      <c r="A130" s="61"/>
    </row>
    <row r="131" spans="1:4" ht="15.75">
      <c r="A131" s="64"/>
      <c r="B131" s="58" t="s">
        <v>121</v>
      </c>
      <c r="C131" s="58" t="s">
        <v>316</v>
      </c>
      <c r="D131" t="s">
        <v>317</v>
      </c>
    </row>
    <row r="132" spans="1:4" ht="15.75">
      <c r="A132" s="61" t="s">
        <v>307</v>
      </c>
      <c r="B132" s="65">
        <v>1</v>
      </c>
      <c r="C132" s="65">
        <f>B80</f>
        <v>1.2</v>
      </c>
      <c r="D132" s="65">
        <f>0.5*(B80+B81)</f>
        <v>1.2</v>
      </c>
    </row>
    <row r="133" spans="1:4" ht="15.75">
      <c r="A133" s="61" t="s">
        <v>319</v>
      </c>
      <c r="B133" s="60">
        <f>f_b_003_f_12_VH2OPCFuelOil(B128,B122,B132)</f>
        <v>1.6901473197594501</v>
      </c>
      <c r="C133" s="60">
        <f>f_b_003_f_12_VH2OPCFuelOil(B128,B122,C132)</f>
        <v>1.7240228318213058</v>
      </c>
      <c r="D133" s="60">
        <f>f_b_003_f_12_VH2OPCFuelOil(B128,B122,D132)</f>
        <v>1.7240228318213058</v>
      </c>
    </row>
    <row r="134" spans="1:4" ht="15.75">
      <c r="A134" s="61" t="s">
        <v>326</v>
      </c>
      <c r="B134" s="60">
        <f>f_b_003_f_13_GH2OPCFuelOil(B129,B123,B132)</f>
        <v>1.3581533161512025</v>
      </c>
      <c r="C134" s="60">
        <f>f_b_003_f_13_GH2OPCFuelOil(B129,B123,C132)</f>
        <v>1.3847475532646045</v>
      </c>
      <c r="D134" s="60">
        <f>f_b_003_f_13_GH2OPCFuelOil(B129,B123,D132)</f>
        <v>1.3847475532646045</v>
      </c>
    </row>
    <row r="135" spans="1:4" ht="15.75">
      <c r="A135" s="61" t="s">
        <v>327</v>
      </c>
      <c r="B135" s="60">
        <f>f_b_003_f_14_VPCFuelOil(B124,B126,B133,B122,B132)</f>
        <v>11.618099536254297</v>
      </c>
      <c r="C135" s="60">
        <f>f_b_003_f_14_VPCFuelOil(B124,B126,B133,B122,C132)</f>
        <v>13.722168608419246</v>
      </c>
      <c r="D135" s="60">
        <f>f_b_003_f_14_VPCFuelOil(B124,B126,B133,B122,D132)</f>
        <v>13.722168608419246</v>
      </c>
    </row>
    <row r="136" spans="1:4" ht="15.75">
      <c r="A136" s="61" t="s">
        <v>328</v>
      </c>
      <c r="B136" s="72">
        <f>f_b_003_f_15_GPCFuelOil(B125,B127,B134,B123,C53,B122,B132)</f>
        <v>14.858689032646049</v>
      </c>
      <c r="C136" s="72">
        <f>f_b_003_f_15_GPCFuelOil(B125,B127,B134,B123,C53,B122,C132)</f>
        <v>17.518112743986254</v>
      </c>
      <c r="D136" s="72">
        <f>f_b_003_f_15_GPCFuelOil(B125,B127,B134,B123,C53,B122,D132)</f>
        <v>17.518112743986254</v>
      </c>
    </row>
    <row r="137" spans="1:4" ht="15.75">
      <c r="A137" s="61" t="s">
        <v>329</v>
      </c>
      <c r="B137" s="60">
        <f>f_b_003_f_16_GPCFuelOil(B132,C53,B122,B67)</f>
        <v>15.005237707903783</v>
      </c>
      <c r="C137" s="60">
        <f>f_b_003_f_16_GPCFuelOil(C132,C53,B122,B67)</f>
        <v>17.7531519161512</v>
      </c>
      <c r="D137" s="60">
        <f>f_b_003_f_16_GPCFuelOil(D132,C53,B122,B67)</f>
        <v>17.7531519161512</v>
      </c>
    </row>
    <row r="138" spans="1:4" ht="31.5">
      <c r="A138" s="61" t="s">
        <v>331</v>
      </c>
      <c r="B138" s="60">
        <f>B124/B135</f>
        <v>0.13916900749540187</v>
      </c>
      <c r="C138" s="60">
        <f>B124/C135</f>
        <v>0.11782972703390787</v>
      </c>
      <c r="D138" s="60">
        <f>B124/D135</f>
        <v>0.11782972703390787</v>
      </c>
    </row>
    <row r="139" spans="1:4" ht="31.5">
      <c r="A139" s="61" t="s">
        <v>332</v>
      </c>
      <c r="B139" s="60">
        <f>B125/B136</f>
        <v>0.22041322348129982</v>
      </c>
      <c r="C139" s="60">
        <f>B125/C136</f>
        <v>0.18695230440939112</v>
      </c>
      <c r="D139" s="60">
        <f>B125/D136</f>
        <v>0.18695230440939112</v>
      </c>
    </row>
    <row r="140" spans="1:4" ht="31.5">
      <c r="A140" s="61" t="s">
        <v>333</v>
      </c>
      <c r="B140" s="60">
        <f>B133/B135</f>
        <v>0.14547536922758691</v>
      </c>
      <c r="C140" s="60">
        <f t="shared" ref="C140:D140" si="5">C133/C135</f>
        <v>0.12563778226449793</v>
      </c>
      <c r="D140" s="60">
        <f t="shared" si="5"/>
        <v>0.12563778226449793</v>
      </c>
    </row>
    <row r="141" spans="1:4" ht="31.5">
      <c r="A141" s="61" t="s">
        <v>334</v>
      </c>
      <c r="B141" s="60">
        <f>B134/B136</f>
        <v>9.140465307317501E-2</v>
      </c>
      <c r="C141" s="60">
        <f t="shared" ref="C141:D141" si="6">C134/C136</f>
        <v>7.9046617264178234E-2</v>
      </c>
      <c r="D141" s="60">
        <f t="shared" si="6"/>
        <v>7.9046617264178234E-2</v>
      </c>
    </row>
    <row r="142" spans="1:4" ht="15.75">
      <c r="A142" s="59" t="s">
        <v>335</v>
      </c>
      <c r="B142" s="60">
        <f>B138+B140</f>
        <v>0.28464437672298881</v>
      </c>
      <c r="C142" s="60">
        <f t="shared" ref="C142:D142" si="7">C138+C140</f>
        <v>0.2434675092984058</v>
      </c>
      <c r="D142" s="60">
        <f t="shared" si="7"/>
        <v>0.2434675092984058</v>
      </c>
    </row>
    <row r="143" spans="1:4" ht="15.75">
      <c r="A143" s="59" t="s">
        <v>336</v>
      </c>
      <c r="B143" s="60">
        <f>B139+B141</f>
        <v>0.31181787655447485</v>
      </c>
      <c r="C143" s="60">
        <f t="shared" ref="C143:D143" si="8">C139+C141</f>
        <v>0.26599892167356937</v>
      </c>
      <c r="D143" s="60">
        <f t="shared" si="8"/>
        <v>0.26599892167356937</v>
      </c>
    </row>
    <row r="144" spans="1:4" ht="15.75">
      <c r="A144" s="59" t="s">
        <v>338</v>
      </c>
      <c r="B144" s="65">
        <f>f_b_003_f_18_MuAshPCFuelOil(C53,B84,B137)</f>
        <v>6.3311226285978918E-5</v>
      </c>
      <c r="C144" s="65">
        <f>f_b_003_f_18_MuAshPCFuelOil(C53,B84,C137)</f>
        <v>5.3511624554720505E-5</v>
      </c>
      <c r="D144" s="65">
        <f>f_b_003_f_18_MuAshPCFuelOil(C53,B84,D137)</f>
        <v>5.3511624554720505E-5</v>
      </c>
    </row>
    <row r="146" spans="1:6" ht="15.75">
      <c r="A146" s="64" t="s">
        <v>473</v>
      </c>
      <c r="B146" t="s">
        <v>481</v>
      </c>
      <c r="C146" t="s">
        <v>482</v>
      </c>
    </row>
    <row r="147" spans="1:6" ht="15.75">
      <c r="A147" s="61" t="s">
        <v>479</v>
      </c>
      <c r="B147" s="1">
        <v>850</v>
      </c>
      <c r="C147" s="1">
        <v>100</v>
      </c>
    </row>
    <row r="148" spans="1:6" ht="15.75">
      <c r="A148" s="61" t="s">
        <v>480</v>
      </c>
      <c r="B148" s="1">
        <v>1.2</v>
      </c>
      <c r="C148" s="1">
        <v>1.25</v>
      </c>
    </row>
    <row r="149" spans="1:6" ht="15.75">
      <c r="A149" s="61" t="s">
        <v>475</v>
      </c>
      <c r="B149" s="67">
        <f>f_b_003_f_26_IAir(B88,B147)</f>
        <v>13485.149496000002</v>
      </c>
      <c r="C149" s="67">
        <f>f_b_003_f_26_IAir(B122,C147)</f>
        <v>1396.0498293814433</v>
      </c>
    </row>
    <row r="150" spans="1:6" ht="15.75">
      <c r="A150" s="61" t="s">
        <v>484</v>
      </c>
      <c r="B150" s="67">
        <f>f_b_003_f_27_IAir1(B89,B147)</f>
        <v>11443.321998972544</v>
      </c>
      <c r="C150" s="9" t="s">
        <v>121</v>
      </c>
    </row>
    <row r="151" spans="1:6" ht="15.75">
      <c r="A151" s="61" t="s">
        <v>476</v>
      </c>
      <c r="B151" s="67">
        <f>f_b_003_f_27_IAir1(B90,B147)</f>
        <v>14796.2153446715</v>
      </c>
      <c r="C151" s="67">
        <f>f_b_003_f_27_IAir1(B123,C147)</f>
        <v>1357.6358046391751</v>
      </c>
    </row>
    <row r="152" spans="1:6" ht="31.5">
      <c r="A152" s="61" t="s">
        <v>477</v>
      </c>
      <c r="B152" s="124">
        <f>f_b_003_f_28_IProductCombution(B91,B94,B97,B88,B147,B148)</f>
        <v>18779.040359568004</v>
      </c>
      <c r="C152" s="124">
        <f>f_b_003_f_28_IProductCombution(B124,B126,B128,B122,C147,C148)</f>
        <v>1962.2683946031789</v>
      </c>
    </row>
    <row r="153" spans="1:6" ht="31.5">
      <c r="A153" s="123" t="s">
        <v>483</v>
      </c>
      <c r="B153" s="124">
        <f>f_b_003_f_29_IProductCombution1(B92,B95,B98,B89,B147,B148)</f>
        <v>17308.311077260412</v>
      </c>
    </row>
    <row r="154" spans="1:6" ht="15.75">
      <c r="A154" s="61" t="s">
        <v>478</v>
      </c>
      <c r="B154" s="67">
        <f>f_b_003_f_29_IProductCombution1(B93,B96,B99,B90,B147,B148)</f>
        <v>20560.461173890792</v>
      </c>
      <c r="C154" s="67">
        <f>f_b_003_f_29_IProductCombution1(B125,B127,B129,B123,C147,C148)</f>
        <v>1941.268330878007</v>
      </c>
    </row>
    <row r="155" spans="1:6" ht="15.75">
      <c r="A155" s="61"/>
    </row>
    <row r="157" spans="1:6">
      <c r="A157" s="43" t="s">
        <v>488</v>
      </c>
      <c r="C157" t="s">
        <v>805</v>
      </c>
      <c r="D157" t="s">
        <v>316</v>
      </c>
      <c r="E157" t="s">
        <v>317</v>
      </c>
      <c r="F157" t="s">
        <v>644</v>
      </c>
    </row>
    <row r="158" spans="1:6">
      <c r="A158" s="7" t="s">
        <v>485</v>
      </c>
      <c r="B158" s="108" t="s">
        <v>486</v>
      </c>
      <c r="C158" s="65">
        <v>1</v>
      </c>
      <c r="D158" s="65">
        <f>B80</f>
        <v>1.2</v>
      </c>
      <c r="E158" s="65">
        <f>B81</f>
        <v>1.2</v>
      </c>
      <c r="F158" s="65">
        <f>B82</f>
        <v>1.23</v>
      </c>
    </row>
    <row r="159" spans="1:6" ht="15.75">
      <c r="A159" s="126">
        <v>-100</v>
      </c>
      <c r="B159" s="67">
        <f>f_b_003_f_26_IAir(B88,A159)</f>
        <v>-1483.8137132000002</v>
      </c>
      <c r="C159" s="67">
        <f>f_b_003_f_28_IProductCombution(B91,B94,B97,B88,A159,C158)</f>
        <v>-1724.8544947178004</v>
      </c>
      <c r="D159" s="67">
        <f>f_b_003_f_28_IProductCombution(B91,B94,B97,B88,A159,D158)</f>
        <v>-2021.6172373578004</v>
      </c>
      <c r="E159" s="67">
        <f>f_b_003_f_28_IProductCombution(B91,B94,B97,B88,A159,E158)</f>
        <v>-2021.6172373578004</v>
      </c>
      <c r="F159" s="67">
        <f>f_b_003_f_28_IProductCombution(B91,B94,B97,B88,A159,F158)</f>
        <v>-2066.1316487538006</v>
      </c>
    </row>
    <row r="160" spans="1:6" ht="15.75">
      <c r="A160" s="126">
        <v>0</v>
      </c>
      <c r="B160" s="67">
        <f>f_b_003_f_26_IAir(B88,A160)</f>
        <v>0</v>
      </c>
      <c r="C160" s="67">
        <f>f_b_003_f_28_IProductCombution(B91,B94,B97,B88,A160,C158)</f>
        <v>0</v>
      </c>
      <c r="D160" s="67">
        <f>f_b_003_f_28_IProductCombution(B91,B94,B97,B88,A160,D158)</f>
        <v>0</v>
      </c>
      <c r="E160" s="67">
        <f>f_b_003_f_28_IProductCombution(B91,B94,B97,B88,A160,E158)</f>
        <v>0</v>
      </c>
      <c r="F160" s="67">
        <f>f_b_003_f_28_IProductCombution(B91,B94,B97,B88,A160,F158)</f>
        <v>0</v>
      </c>
    </row>
    <row r="161" spans="1:6" ht="15.75">
      <c r="A161" s="126">
        <v>100</v>
      </c>
      <c r="B161" s="67">
        <f>f_b_003_f_26_IAir(B88,A161)</f>
        <v>1483.8137132000002</v>
      </c>
      <c r="C161" s="67">
        <f>f_b_003_f_28_IProductCombution(B91,B94,B97,B88,A161,C158)</f>
        <v>1724.8544947178004</v>
      </c>
      <c r="D161" s="67">
        <f>f_b_003_f_28_IProductCombution(B91,B94,B97,B88,A161,D158)</f>
        <v>2021.6172373578004</v>
      </c>
      <c r="E161" s="67">
        <f>f_b_003_f_28_IProductCombution(B91,B94,B97,B88,A161,E158)</f>
        <v>2021.6172373578004</v>
      </c>
      <c r="F161" s="67">
        <f>f_b_003_f_28_IProductCombution(B91,B94,B97,B88,A161,F158)</f>
        <v>2066.1316487538006</v>
      </c>
    </row>
    <row r="162" spans="1:6" ht="15.75">
      <c r="A162" s="126">
        <v>200</v>
      </c>
      <c r="B162" s="67">
        <f>f_b_003_f_26_IAir(B88,A162)</f>
        <v>2985.5181720000005</v>
      </c>
      <c r="C162" s="67">
        <f>f_b_003_f_28_IProductCombution(B91,B94,B97,B88,A162,C158)</f>
        <v>3484.6716028304008</v>
      </c>
      <c r="D162" s="67">
        <f>f_b_003_f_28_IProductCombution(B91,B94,B97,B88,A162,D158)</f>
        <v>4081.7752372304008</v>
      </c>
      <c r="E162" s="67">
        <f>f_b_003_f_28_IProductCombution(B91,B94,B97,B88,A162,E158)</f>
        <v>4081.7752372304008</v>
      </c>
      <c r="F162" s="67">
        <f>f_b_003_f_28_IProductCombution(B91,B94,B97,B88,A162,F158)</f>
        <v>4171.3407823904008</v>
      </c>
    </row>
    <row r="163" spans="1:6" ht="15.75">
      <c r="A163" s="126">
        <v>300</v>
      </c>
      <c r="B163" s="67">
        <f>f_b_003_f_26_IAir(B88,A163)</f>
        <v>4506.2315480000007</v>
      </c>
      <c r="C163" s="67">
        <f>f_b_003_f_28_IProductCombution(B91,B94,B97,B88,A163,C158)</f>
        <v>5294.5689477388014</v>
      </c>
      <c r="D163" s="67">
        <f>f_b_003_f_28_IProductCombution(B91,B94,B97,B88,A163,D158)</f>
        <v>6195.8152573388015</v>
      </c>
      <c r="E163" s="67">
        <f>f_b_003_f_28_IProductCombution(B91,B94,B97,B88,A163,E158)</f>
        <v>6195.8152573388015</v>
      </c>
      <c r="F163" s="67">
        <f>f_b_003_f_28_IProductCombution(B91,B94,B97,B88,A163,F158)</f>
        <v>6331.0022037788012</v>
      </c>
    </row>
    <row r="164" spans="1:6" ht="15.75">
      <c r="A164" s="126">
        <v>400</v>
      </c>
      <c r="B164" s="67">
        <f>f_b_003_f_26_IAir(B88,A164)</f>
        <v>6060.4900720000005</v>
      </c>
      <c r="C164" s="67">
        <f>f_b_003_f_28_IProductCombution(B91,B94,B97,B88,A164,C158)</f>
        <v>7144.2044864376021</v>
      </c>
      <c r="D164" s="67">
        <f>f_b_003_f_28_IProductCombution(B91,B94,B97,B88,A164,D158)</f>
        <v>8356.3025008376026</v>
      </c>
      <c r="E164" s="67">
        <f>f_b_003_f_28_IProductCombution(B91,B94,B97,B88,A164,E158)</f>
        <v>8356.3025008376026</v>
      </c>
      <c r="F164" s="67">
        <f>f_b_003_f_28_IProductCombution(B91,B94,B97,B88,A164,F158)</f>
        <v>8538.1172029976024</v>
      </c>
    </row>
    <row r="165" spans="1:6" ht="15.75">
      <c r="A165" s="126">
        <v>500</v>
      </c>
      <c r="B165" s="67">
        <f>f_b_003_f_26_IAir(B88,A165)</f>
        <v>7659.4754600000015</v>
      </c>
      <c r="C165" s="67">
        <f>f_b_003_f_28_IProductCombution(B91,B94,B97,B88,A165,C158)</f>
        <v>9047.2138158220023</v>
      </c>
      <c r="D165" s="67">
        <f>f_b_003_f_28_IProductCombution(B91,B94,B97,B88,A165,D158)</f>
        <v>10579.108907822003</v>
      </c>
      <c r="E165" s="67">
        <f>f_b_003_f_28_IProductCombution(B91,B94,B97,B88,A165,E158)</f>
        <v>10579.108907822003</v>
      </c>
      <c r="F165" s="67">
        <f>f_b_003_f_28_IProductCombution(B91,B94,B97,B88,A165,F158)</f>
        <v>10808.893171622003</v>
      </c>
    </row>
    <row r="166" spans="1:6" ht="15.75">
      <c r="A166" s="126">
        <v>600</v>
      </c>
      <c r="B166" s="67">
        <f>f_b_003_f_26_IAir(B88,A166)</f>
        <v>9280.8242800000007</v>
      </c>
      <c r="C166" s="67">
        <f>f_b_003_f_28_IProductCombution(B91,B94,B97,B88,A166,C158)</f>
        <v>10999.951010264402</v>
      </c>
      <c r="D166" s="67">
        <f>f_b_003_f_28_IProductCombution(B91,B94,B97,B88,A166,D158)</f>
        <v>12856.115866264401</v>
      </c>
      <c r="E166" s="67">
        <f>f_b_003_f_28_IProductCombution(B91,B94,B97,B88,A166,E158)</f>
        <v>12856.115866264401</v>
      </c>
      <c r="F166" s="67">
        <f>f_b_003_f_28_IProductCombution(B91,B94,B97,B88,A166,F158)</f>
        <v>13134.540594664402</v>
      </c>
    </row>
    <row r="167" spans="1:6" ht="15.75">
      <c r="A167" s="126">
        <v>700</v>
      </c>
      <c r="B167" s="67">
        <f>f_b_003_f_26_IAir(B88,A167)</f>
        <v>10946.899964000002</v>
      </c>
      <c r="C167" s="67">
        <f>f_b_003_f_28_IProductCombution(B91,B94,B97,B88,A167,C158)</f>
        <v>13001.075195392405</v>
      </c>
      <c r="D167" s="67">
        <f>f_b_003_f_28_IProductCombution(B91,B94,B97,B88,A167,D158)</f>
        <v>15190.455188192405</v>
      </c>
      <c r="E167" s="67">
        <f>f_b_003_f_28_IProductCombution(B91,B94,B97,B88,A167,E158)</f>
        <v>15190.455188192405</v>
      </c>
      <c r="F167" s="67">
        <f>f_b_003_f_28_IProductCombution(B91,B94,B97,B88,A167,F158)</f>
        <v>15518.862187112405</v>
      </c>
    </row>
    <row r="168" spans="1:6" ht="15.75">
      <c r="A168" s="126">
        <v>800</v>
      </c>
      <c r="B168" s="67">
        <f>f_b_003_f_26_IAir(B88,A168)</f>
        <v>12624.157364000002</v>
      </c>
      <c r="C168" s="67">
        <f>f_b_003_f_28_IProductCombution(B91,B94,B97,B88,A168,C158)</f>
        <v>15038.103299938404</v>
      </c>
      <c r="D168" s="67">
        <f>f_b_003_f_28_IProductCombution(B91,B94,B97,B88,A168,D158)</f>
        <v>17562.934772738405</v>
      </c>
      <c r="E168" s="67">
        <f>f_b_003_f_28_IProductCombution(B91,B94,B97,B88,A168,E158)</f>
        <v>17562.934772738405</v>
      </c>
      <c r="F168" s="67">
        <f>f_b_003_f_28_IProductCombution(B91,B94,B97,B88,A168,F158)</f>
        <v>17941.659493658404</v>
      </c>
    </row>
    <row r="169" spans="1:6" ht="15.75">
      <c r="A169" s="126">
        <v>900</v>
      </c>
      <c r="B169" s="67">
        <f>f_b_003_f_26_IAir(B88,A169)</f>
        <v>14346.141628000001</v>
      </c>
      <c r="C169" s="67">
        <f>f_b_003_f_28_IProductCombution(B91,B94,B97,B88,A169,C158)</f>
        <v>17125.917620797605</v>
      </c>
      <c r="D169" s="67">
        <f>f_b_003_f_28_IProductCombution(B91,B94,B97,B88,A169,D158)</f>
        <v>19995.145946397606</v>
      </c>
      <c r="E169" s="67">
        <f>f_b_003_f_28_IProductCombution(B91,B94,B97,B88,A169,E158)</f>
        <v>19995.145946397606</v>
      </c>
      <c r="F169" s="67">
        <f>f_b_003_f_28_IProductCombution(B91,B94,B97,B88,A169,F158)</f>
        <v>20425.530195237607</v>
      </c>
    </row>
    <row r="170" spans="1:6" ht="15.75">
      <c r="A170" s="126">
        <v>1000</v>
      </c>
      <c r="B170" s="67">
        <f>f_b_003_f_26_IAir(B88,A170)</f>
        <v>16079.307608000003</v>
      </c>
      <c r="C170" s="67">
        <f>f_b_003_f_28_IProductCombution(B91,B94,B97,B88,A170,C158)</f>
        <v>19247.142461074804</v>
      </c>
      <c r="D170" s="67">
        <f>f_b_003_f_28_IProductCombution(B91,B94,B97,B88,A170,D158)</f>
        <v>22463.003982674803</v>
      </c>
      <c r="E170" s="67">
        <f>f_b_003_f_28_IProductCombution(B91,B94,B97,B88,A170,E158)</f>
        <v>22463.003982674803</v>
      </c>
      <c r="F170" s="67">
        <f>f_b_003_f_28_IProductCombution(B91,B94,B97,B88,A170,F158)</f>
        <v>22945.383210914802</v>
      </c>
    </row>
    <row r="171" spans="1:6" ht="15.75">
      <c r="A171" s="126">
        <v>1100</v>
      </c>
      <c r="B171" s="67">
        <f>f_b_003_f_26_IAir(B88,A171)</f>
        <v>17834.837020000003</v>
      </c>
      <c r="C171" s="67">
        <f>f_b_003_f_28_IProductCombution(B91,B94,B97,B88,A171,C158)</f>
        <v>21389.310820770006</v>
      </c>
      <c r="D171" s="67">
        <f>f_b_003_f_28_IProductCombution(B91,B94,B97,B88,A171,D158)</f>
        <v>24956.278224770005</v>
      </c>
      <c r="E171" s="67">
        <f>f_b_003_f_28_IProductCombution(B91,B94,B97,B88,A171,E158)</f>
        <v>24956.278224770005</v>
      </c>
      <c r="F171" s="67">
        <f>f_b_003_f_28_IProductCombution(B91,B94,B97,B88,A171,F158)</f>
        <v>25491.323335370005</v>
      </c>
    </row>
    <row r="172" spans="1:6" ht="15.75">
      <c r="A172" s="126">
        <v>1200</v>
      </c>
      <c r="B172" s="67">
        <f>f_b_003_f_26_IAir(B88,A172)</f>
        <v>19612.729864000004</v>
      </c>
      <c r="C172" s="67">
        <f>f_b_003_f_28_IProductCombution(B91,B94,B97,B88,A172,C158)</f>
        <v>23569.766254243208</v>
      </c>
      <c r="D172" s="67">
        <f>f_b_003_f_28_IProductCombution(B91,B94,B97,B88,A172,D158)</f>
        <v>27492.312227043207</v>
      </c>
      <c r="E172" s="67">
        <f>f_b_003_f_28_IProductCombution(B91,B94,B97,B88,A172,E158)</f>
        <v>27492.312227043207</v>
      </c>
      <c r="F172" s="67">
        <f>f_b_003_f_28_IProductCombution(B91,B94,B97,B88,A172,F158)</f>
        <v>28080.694122963207</v>
      </c>
    </row>
    <row r="173" spans="1:6" ht="15.75">
      <c r="A173" s="126">
        <v>1300</v>
      </c>
      <c r="B173" s="67">
        <f>f_b_003_f_26_IAir(B88,A173)</f>
        <v>21401.804424000002</v>
      </c>
      <c r="C173" s="67">
        <f>f_b_003_f_28_IProductCombution(B91,B94,B97,B88,A173,C158)</f>
        <v>25710.441642014408</v>
      </c>
      <c r="D173" s="67">
        <f>f_b_003_f_28_IProductCombution(B91,B94,B97,B88,A173,D158)</f>
        <v>29990.802526814408</v>
      </c>
      <c r="E173" s="67">
        <f>f_b_003_f_28_IProductCombution(B91,B94,B97,B88,A173,E158)</f>
        <v>29990.802526814408</v>
      </c>
      <c r="F173" s="67">
        <f>f_b_003_f_28_IProductCombution(B91,B94,B97,B88,A173,F158)</f>
        <v>30632.856659534409</v>
      </c>
    </row>
    <row r="174" spans="1:6" ht="15.75">
      <c r="A174" s="126">
        <v>1400</v>
      </c>
      <c r="B174" s="67">
        <f>f_b_003_f_26_IAir(B88,A174)</f>
        <v>23213.242416000005</v>
      </c>
      <c r="C174" s="67">
        <f>f_b_003_f_28_IProductCombution(B91,B94,B97,B88,A174,C158)</f>
        <v>27931.50527178841</v>
      </c>
      <c r="D174" s="67">
        <f>f_b_003_f_28_IProductCombution(B91,B94,B97,B88,A174,D158)</f>
        <v>32574.153754988409</v>
      </c>
      <c r="E174" s="67">
        <f>f_b_003_f_28_IProductCombution(B91,B94,B97,B88,A174,E158)</f>
        <v>32574.153754988409</v>
      </c>
      <c r="F174" s="67">
        <f>f_b_003_f_28_IProductCombution(B91,B94,B97,B88,A174,F158)</f>
        <v>33270.551027468413</v>
      </c>
    </row>
    <row r="175" spans="1:6" ht="15.75">
      <c r="A175" s="126">
        <v>1500</v>
      </c>
      <c r="B175" s="67">
        <f>f_b_003_f_26_IAir(B88,A175)</f>
        <v>25035.862124000003</v>
      </c>
      <c r="C175" s="67">
        <f>f_b_003_f_28_IProductCombution(B91,B94,B97,B88,A175,C158)</f>
        <v>30175.895575340408</v>
      </c>
      <c r="D175" s="67">
        <f>f_b_003_f_28_IProductCombution(B91,B94,B97,B88,A175,D158)</f>
        <v>35183.068000140411</v>
      </c>
      <c r="E175" s="67">
        <f>f_b_003_f_28_IProductCombution(B91,B94,B97,B88,A175,E158)</f>
        <v>35183.068000140411</v>
      </c>
      <c r="F175" s="67">
        <f>f_b_003_f_28_IProductCombution(B91,B94,B97,B88,A175,F158)</f>
        <v>35934.143863860409</v>
      </c>
    </row>
    <row r="176" spans="1:6" ht="15.75">
      <c r="A176" s="126">
        <v>1600</v>
      </c>
      <c r="B176" s="67">
        <f>f_b_003_f_26_IAir(B88,A176)</f>
        <v>26869.663548000004</v>
      </c>
      <c r="C176" s="67">
        <f>f_b_003_f_28_IProductCombution(B91,B94,B97,B88,A176,C158)</f>
        <v>32438.81410141521</v>
      </c>
      <c r="D176" s="67">
        <f>f_b_003_f_28_IProductCombution(B91,B94,B97,B88,A176,D158)</f>
        <v>37812.746811015211</v>
      </c>
      <c r="E176" s="67">
        <f>f_b_003_f_28_IProductCombution(B91,B94,B97,B88,A176,E158)</f>
        <v>37812.746811015211</v>
      </c>
      <c r="F176" s="67">
        <f>f_b_003_f_28_IProductCombution(B91,B94,B97,B88,A176,F158)</f>
        <v>38618.836717455211</v>
      </c>
    </row>
    <row r="177" spans="1:6" ht="15.75">
      <c r="A177" s="126">
        <v>1700</v>
      </c>
      <c r="B177" s="67">
        <f>f_b_003_f_26_IAir(B88,A177)</f>
        <v>28703.464972000005</v>
      </c>
      <c r="C177" s="67">
        <f>f_b_003_f_28_IProductCombution(B91,B94,B97,B88,A177,C158)</f>
        <v>34730.25052128041</v>
      </c>
      <c r="D177" s="67">
        <f>f_b_003_f_28_IProductCombution(B91,B94,B97,B88,A177,D158)</f>
        <v>40470.94351568041</v>
      </c>
      <c r="E177" s="67">
        <f>f_b_003_f_28_IProductCombution(B91,B94,B97,B88,A177,E158)</f>
        <v>40470.94351568041</v>
      </c>
      <c r="F177" s="67">
        <f>f_b_003_f_28_IProductCombution(B91,B94,B97,B88,A177,F158)</f>
        <v>41332.047464840412</v>
      </c>
    </row>
    <row r="178" spans="1:6" ht="15.75">
      <c r="A178" s="126">
        <v>1800</v>
      </c>
      <c r="B178" s="67">
        <f>f_b_003_f_26_IAir(B88,A178)</f>
        <v>30548.448112000005</v>
      </c>
      <c r="C178" s="67">
        <f>f_b_003_f_28_IProductCombution(B91,B94,B97,B88,A178,C158)</f>
        <v>37028.978792400812</v>
      </c>
      <c r="D178" s="67">
        <f>f_b_003_f_28_IProductCombution(B91,B94,B97,B88,A178,D158)</f>
        <v>43138.668414800813</v>
      </c>
      <c r="E178" s="67">
        <f>f_b_003_f_28_IProductCombution(B91,B94,B97,B88,A178,E158)</f>
        <v>43138.668414800813</v>
      </c>
      <c r="F178" s="67">
        <f>f_b_003_f_28_IProductCombution(B91,B94,B97,B88,A178,F158)</f>
        <v>44055.121858160812</v>
      </c>
    </row>
    <row r="179" spans="1:6" ht="15.75">
      <c r="A179" s="126">
        <v>1900</v>
      </c>
      <c r="B179" s="67">
        <f>f_b_003_f_26_IAir(B88,A179)</f>
        <v>32415.794684000004</v>
      </c>
      <c r="C179" s="67">
        <f>f_b_003_f_28_IProductCombution(B91,B94,B97,B88,A179,C158)</f>
        <v>39334.90474040401</v>
      </c>
      <c r="D179" s="67">
        <f>f_b_003_f_28_IProductCombution(B91,B94,B97,B88,A179,D158)</f>
        <v>45818.063677204009</v>
      </c>
      <c r="E179" s="67">
        <f>f_b_003_f_28_IProductCombution(B91,B94,B97,B88,A179,E158)</f>
        <v>45818.063677204009</v>
      </c>
      <c r="F179" s="67">
        <f>f_b_003_f_28_IProductCombution(B91,B94,B97,B88,A179,F158)</f>
        <v>46790.537517724013</v>
      </c>
    </row>
    <row r="180" spans="1:6" ht="15.75">
      <c r="A180" s="126">
        <v>2000</v>
      </c>
      <c r="B180" s="67">
        <f>f_b_003_f_26_IAir(B88,A180)</f>
        <v>34283.141256000003</v>
      </c>
      <c r="C180" s="67">
        <f>f_b_003_f_28_IProductCombution(B91,B94,B97,B88,A180,C158)</f>
        <v>41660.511436557608</v>
      </c>
      <c r="D180" s="67">
        <f>f_b_003_f_28_IProductCombution(B91,B94,B97,B88,A180,D158)</f>
        <v>48517.139687757604</v>
      </c>
      <c r="E180" s="67">
        <f>f_b_003_f_28_IProductCombution(B91,B94,B97,B88,A180,E158)</f>
        <v>48517.139687757604</v>
      </c>
      <c r="F180" s="67">
        <f>f_b_003_f_28_IProductCombution(B91,B94,B97,B88,A180,F158)</f>
        <v>49545.633925437607</v>
      </c>
    </row>
    <row r="181" spans="1:6" ht="15.75">
      <c r="A181" s="126">
        <v>2100</v>
      </c>
      <c r="B181" s="67">
        <f>f_b_003_f_26_IAir(B88,A181)</f>
        <v>36161.669544000004</v>
      </c>
      <c r="C181" s="67">
        <f>f_b_003_f_28_IProductCombution(B91,B94,B97,B88,A181,C158)</f>
        <v>43998.601203978811</v>
      </c>
      <c r="D181" s="67">
        <f>f_b_003_f_28_IProductCombution(B91,B94,B97,B88,A181,D158)</f>
        <v>51230.93511277881</v>
      </c>
      <c r="E181" s="67">
        <f>f_b_003_f_28_IProductCombution(B91,B94,B97,B88,A181,E158)</f>
        <v>51230.93511277881</v>
      </c>
      <c r="F181" s="67">
        <f>f_b_003_f_28_IProductCombution(B91,B94,B97,B88,A181,F158)</f>
        <v>52315.785199098813</v>
      </c>
    </row>
    <row r="182" spans="1:6" ht="15.75">
      <c r="A182" s="126">
        <v>2200</v>
      </c>
      <c r="B182" s="67">
        <f>f_b_003_f_26_IAir(B88,A182)</f>
        <v>38040.197832000005</v>
      </c>
      <c r="C182" s="67">
        <f>f_b_003_f_28_IProductCombution(B91,B94,B97,B88,A182,C158)</f>
        <v>46341.489422655213</v>
      </c>
      <c r="D182" s="67">
        <f>f_b_003_f_28_IProductCombution(B91,B94,B97,B88,A182,D158)</f>
        <v>53949.528989055216</v>
      </c>
      <c r="E182" s="67">
        <f>f_b_003_f_28_IProductCombution(B91,B94,B97,B88,A182,E158)</f>
        <v>53949.528989055216</v>
      </c>
      <c r="F182" s="67">
        <f>f_b_003_f_28_IProductCombution(B91,B94,B97,B88,A182,F158)</f>
        <v>55090.734924015211</v>
      </c>
    </row>
    <row r="183" spans="1:6" ht="15.75">
      <c r="A183" s="126">
        <v>2300</v>
      </c>
      <c r="B183" s="67">
        <f>f_b_003_f_26_IAir(B88,A183)</f>
        <v>39929.907836000006</v>
      </c>
      <c r="C183" s="67">
        <f>f_b_003_f_28_IProductCombution(B91,B94,B97,B88,A183,C158)</f>
        <v>48699.259938226816</v>
      </c>
      <c r="D183" s="67">
        <f>f_b_003_f_28_IProductCombution(B91,B94,B97,B88,A183,D158)</f>
        <v>56685.241505426813</v>
      </c>
      <c r="E183" s="67">
        <f>f_b_003_f_28_IProductCombution(B91,B94,B97,B88,A183,E158)</f>
        <v>56685.241505426813</v>
      </c>
      <c r="F183" s="67">
        <f>f_b_003_f_28_IProductCombution(B91,B94,B97,B88,A183,F158)</f>
        <v>57883.138740506816</v>
      </c>
    </row>
    <row r="185" spans="1:6">
      <c r="A185" s="43" t="s">
        <v>487</v>
      </c>
    </row>
    <row r="187" spans="1:6">
      <c r="A187" s="7" t="s">
        <v>474</v>
      </c>
      <c r="B187" s="1">
        <f>12364*4.1868*B87</f>
        <v>47167.88374208592</v>
      </c>
    </row>
    <row r="188" spans="1:6">
      <c r="A188" s="7" t="s">
        <v>480</v>
      </c>
      <c r="B188" s="65">
        <f>C158</f>
        <v>1</v>
      </c>
      <c r="C188" s="65">
        <f>D158</f>
        <v>1.2</v>
      </c>
      <c r="D188" s="1">
        <v>1.1499999999999999</v>
      </c>
    </row>
    <row r="189" spans="1:6">
      <c r="A189" s="7" t="s">
        <v>479</v>
      </c>
      <c r="B189" s="67">
        <f>f_b_000_Interpolate(B187,C159:C183,A159:A183)</f>
        <v>2235.0498199028652</v>
      </c>
      <c r="C189" s="65">
        <f>f_b_000_Interpolate(B187,D159:D183,A159:A183)</f>
        <v>1950.0104502283007</v>
      </c>
      <c r="D189" s="125">
        <f>f_b_000_Interpolate(D188,B188:C188,B189:C189)</f>
        <v>2021.2702926469419</v>
      </c>
    </row>
    <row r="192" spans="1:6">
      <c r="A192" s="43" t="s">
        <v>489</v>
      </c>
    </row>
    <row r="193" spans="1:5">
      <c r="A193" s="7" t="s">
        <v>485</v>
      </c>
      <c r="B193" s="108" t="s">
        <v>486</v>
      </c>
      <c r="C193" s="1">
        <v>1</v>
      </c>
      <c r="D193" s="1">
        <v>1.2</v>
      </c>
      <c r="E193" s="1">
        <v>1.23</v>
      </c>
    </row>
    <row r="194" spans="1:5" ht="15.75">
      <c r="A194" s="126">
        <v>-100</v>
      </c>
      <c r="B194" s="67">
        <f>f_b_003_f_26_IAir(B122,A194)</f>
        <v>-1396.0498293814433</v>
      </c>
      <c r="C194" s="67">
        <f>f_b_003_f_28_IProductCombution(B124,B126,B128,B122,A194,C193)</f>
        <v>-1613.255937257818</v>
      </c>
      <c r="D194" s="67">
        <f>f_b_003_f_28_IProductCombution(B124,B126,B128,B122,A194,D193)</f>
        <v>-1892.4659031341066</v>
      </c>
      <c r="E194" s="67">
        <f>f_b_003_f_28_IProductCombution(B124,B126,B128,B122,A194,E193)</f>
        <v>-1934.34739801555</v>
      </c>
    </row>
    <row r="195" spans="1:5" ht="15.75">
      <c r="A195" s="126">
        <v>0</v>
      </c>
      <c r="B195" s="67">
        <f>f_b_003_f_26_IAir(B122,A195)</f>
        <v>0</v>
      </c>
      <c r="C195" s="67">
        <f>f_b_003_f_28_IProductCombution(B124,B126,B128,B122,A195,C193)</f>
        <v>0</v>
      </c>
      <c r="D195" s="67">
        <f>f_b_003_f_28_IProductCombution(B124,B126,B128,B122,A195,D193)</f>
        <v>0</v>
      </c>
      <c r="E195" s="67">
        <f>f_b_003_f_28_IProductCombution(B124,B126,B128,B122,A195,E193)</f>
        <v>0</v>
      </c>
    </row>
    <row r="196" spans="1:5" ht="15.75">
      <c r="A196" s="126">
        <v>100</v>
      </c>
      <c r="B196" s="67">
        <f>f_b_003_f_26_IAir(B122,A196)</f>
        <v>1396.0498293814433</v>
      </c>
      <c r="C196" s="67">
        <f>f_b_003_f_28_IProductCombution(B124,B126,B128,B122,A196,C193)</f>
        <v>1613.255937257818</v>
      </c>
      <c r="D196" s="67">
        <f>f_b_003_f_28_IProductCombution(B124,B126,B128,B122,A196,D193)</f>
        <v>1892.4659031341066</v>
      </c>
      <c r="E196" s="67">
        <f>f_b_003_f_28_IProductCombution(B124,B126,B128,B122,A196,E193)</f>
        <v>1934.34739801555</v>
      </c>
    </row>
    <row r="197" spans="1:5" ht="15.75">
      <c r="A197" s="126">
        <v>200</v>
      </c>
      <c r="B197" s="67">
        <f>f_b_003_f_26_IAir(B122,A197)</f>
        <v>2808.9322113402063</v>
      </c>
      <c r="C197" s="67">
        <f>f_b_003_f_28_IProductCombution(B124,B126,B128,B122,A197,C193)</f>
        <v>3265.0713724749139</v>
      </c>
      <c r="D197" s="67">
        <f>f_b_003_f_28_IProductCombution(B124,B126,B128,B122,A197,D193)</f>
        <v>3826.8578147429553</v>
      </c>
      <c r="E197" s="67">
        <f>f_b_003_f_28_IProductCombution(B124,B126,B128,B122,A197,E193)</f>
        <v>3911.1257810831612</v>
      </c>
    </row>
    <row r="198" spans="1:5" ht="15.75">
      <c r="A198" s="126">
        <v>300</v>
      </c>
      <c r="B198" s="67">
        <f>f_b_003_f_26_IAir(B122,A198)</f>
        <v>4239.6991804123718</v>
      </c>
      <c r="C198" s="67">
        <f>f_b_003_f_28_IProductCombution(B124,B126,B128,B122,A198,C193)</f>
        <v>4967.4039978115125</v>
      </c>
      <c r="D198" s="67">
        <f>f_b_003_f_28_IProductCombution(B124,B126,B128,B122,A198,D193)</f>
        <v>5815.3438338939868</v>
      </c>
      <c r="E198" s="67">
        <f>f_b_003_f_28_IProductCombution(B124,B126,B128,B122,A198,E193)</f>
        <v>5942.5348093063576</v>
      </c>
    </row>
    <row r="199" spans="1:5" ht="15.75">
      <c r="A199" s="126">
        <v>400</v>
      </c>
      <c r="B199" s="67">
        <f>f_b_003_f_26_IAir(B122,A199)</f>
        <v>5702.0271855670107</v>
      </c>
      <c r="C199" s="67">
        <f>f_b_003_f_28_IProductCombution(B124,B126,B128,B122,A199,C193)</f>
        <v>6709.2881519116845</v>
      </c>
      <c r="D199" s="67">
        <f>f_b_003_f_28_IProductCombution(B124,B126,B128,B122,A199,D193)</f>
        <v>7849.6935890250861</v>
      </c>
      <c r="E199" s="67">
        <f>f_b_003_f_28_IProductCombution(B124,B126,B128,B122,A199,E193)</f>
        <v>8020.7544045920968</v>
      </c>
    </row>
    <row r="200" spans="1:5" ht="15.75">
      <c r="A200" s="126">
        <v>500</v>
      </c>
      <c r="B200" s="67">
        <f>f_b_003_f_26_IAir(B122,A200)</f>
        <v>7206.4365721649492</v>
      </c>
      <c r="C200" s="67">
        <f>f_b_003_f_28_IProductCombution(B124,B126,B128,B122,A200,C193)</f>
        <v>8502.4152022500002</v>
      </c>
      <c r="D200" s="67">
        <f>f_b_003_f_28_IProductCombution(B124,B126,B128,B122,A200,D193)</f>
        <v>9943.7025166829899</v>
      </c>
      <c r="E200" s="67">
        <f>f_b_003_f_28_IProductCombution(B124,B126,B128,B122,A200,E193)</f>
        <v>10159.895613847939</v>
      </c>
    </row>
    <row r="201" spans="1:5" ht="15.75">
      <c r="A201" s="126">
        <v>600</v>
      </c>
      <c r="B201" s="67">
        <f>f_b_003_f_26_IAir(B122,A201)</f>
        <v>8731.886649484537</v>
      </c>
      <c r="C201" s="67">
        <f>f_b_003_f_28_IProductCombution(B124,B126,B128,B122,A201,C193)</f>
        <v>10343.47812212526</v>
      </c>
      <c r="D201" s="67">
        <f>f_b_003_f_28_IProductCombution(B124,B126,B128,B122,A201,D193)</f>
        <v>12089.855452022166</v>
      </c>
      <c r="E201" s="67">
        <f>f_b_003_f_28_IProductCombution(B124,B126,B128,B122,A201,E193)</f>
        <v>12351.812051506702</v>
      </c>
    </row>
    <row r="202" spans="1:5" ht="15.75">
      <c r="A202" s="126">
        <v>700</v>
      </c>
      <c r="B202" s="67">
        <f>f_b_003_f_26_IAir(B122,A202)</f>
        <v>10299.418108247424</v>
      </c>
      <c r="C202" s="67">
        <f>f_b_003_f_28_IProductCombution(B124,B126,B128,B122,A202,C193)</f>
        <v>12229.316420712888</v>
      </c>
      <c r="D202" s="67">
        <f>f_b_003_f_28_IProductCombution(B124,B126,B128,B122,A202,D193)</f>
        <v>14289.200042362372</v>
      </c>
      <c r="E202" s="67">
        <f>f_b_003_f_28_IProductCombution(B124,B126,B128,B122,A202,E193)</f>
        <v>14598.182585609797</v>
      </c>
    </row>
    <row r="203" spans="1:5" ht="15.75">
      <c r="A203" s="126">
        <v>800</v>
      </c>
      <c r="B203" s="67">
        <f>f_b_003_f_26_IAir(B122,A203)</f>
        <v>11877.469912371134</v>
      </c>
      <c r="C203" s="67">
        <f>f_b_003_f_28_IProductCombution(B124,B126,B128,B122,A203,C193)</f>
        <v>14148.311998476634</v>
      </c>
      <c r="D203" s="67">
        <f>f_b_003_f_28_IProductCombution(B124,B126,B128,B122,A203,D193)</f>
        <v>16523.80598095086</v>
      </c>
      <c r="E203" s="67">
        <f>f_b_003_f_28_IProductCombution(B124,B126,B128,B122,A203,E193)</f>
        <v>16880.130078321996</v>
      </c>
    </row>
    <row r="204" spans="1:5" ht="15.75">
      <c r="A204" s="126">
        <v>900</v>
      </c>
      <c r="B204" s="67">
        <f>f_b_003_f_26_IAir(B122,A204)</f>
        <v>13497.603097938145</v>
      </c>
      <c r="C204" s="67">
        <f>f_b_003_f_28_IProductCombution(B124,B126,B128,B122,A204,C193)</f>
        <v>16113.773102272511</v>
      </c>
      <c r="D204" s="67">
        <f>f_b_003_f_28_IProductCombution(B124,B126,B128,B122,A204,D193)</f>
        <v>18813.29372186014</v>
      </c>
      <c r="E204" s="67">
        <f>f_b_003_f_28_IProductCombution(B124,B126,B128,B122,A204,E193)</f>
        <v>19218.221814798286</v>
      </c>
    </row>
    <row r="205" spans="1:5" ht="15.75">
      <c r="A205" s="126">
        <v>1000</v>
      </c>
      <c r="B205" s="67">
        <f>f_b_003_f_26_IAir(B122,A205)</f>
        <v>15128.25662886598</v>
      </c>
      <c r="C205" s="67">
        <f>f_b_003_f_28_IProductCombution(B124,B126,B128,B122,A205,C193)</f>
        <v>18109.157726481615</v>
      </c>
      <c r="D205" s="67">
        <f>f_b_003_f_28_IProductCombution(B124,B126,B128,B122,A205,D193)</f>
        <v>21134.809052254812</v>
      </c>
      <c r="E205" s="67">
        <f>f_b_003_f_28_IProductCombution(B124,B126,B128,B122,A205,E193)</f>
        <v>21588.65675112079</v>
      </c>
    </row>
    <row r="206" spans="1:5" ht="15.75">
      <c r="A206" s="126">
        <v>1100</v>
      </c>
      <c r="B206" s="67">
        <f>f_b_003_f_26_IAir(B122,A206)</f>
        <v>16779.950850515466</v>
      </c>
      <c r="C206" s="67">
        <f>f_b_003_f_28_IProductCombution(B124,B126,B128,B122,A206,C193)</f>
        <v>20118.297077289521</v>
      </c>
      <c r="D206" s="67">
        <f>f_b_003_f_28_IProductCombution(B124,B126,B128,B122,A206,D193)</f>
        <v>23474.287247392615</v>
      </c>
      <c r="E206" s="67">
        <f>f_b_003_f_28_IProductCombution(B124,B126,B128,B122,A206,E193)</f>
        <v>23977.685772908077</v>
      </c>
    </row>
    <row r="207" spans="1:5" ht="15.75">
      <c r="A207" s="126">
        <v>1200</v>
      </c>
      <c r="B207" s="67">
        <f>f_b_003_f_26_IAir(B122,A207)</f>
        <v>18452.685762886598</v>
      </c>
      <c r="C207" s="67">
        <f>f_b_003_f_28_IProductCombution(B124,B126,B128,B122,A207,C193)</f>
        <v>22166.83454887148</v>
      </c>
      <c r="D207" s="67">
        <f>f_b_003_f_28_IProductCombution(B124,B126,B128,B122,A207,D193)</f>
        <v>25857.371701448799</v>
      </c>
      <c r="E207" s="67">
        <f>f_b_003_f_28_IProductCombution(B124,B126,B128,B122,A207,E193)</f>
        <v>26410.952274335395</v>
      </c>
    </row>
    <row r="208" spans="1:5" ht="15.75">
      <c r="A208" s="126">
        <v>1300</v>
      </c>
      <c r="B208" s="67">
        <f>f_b_003_f_26_IAir(B122,A208)</f>
        <v>20135.94102061856</v>
      </c>
      <c r="C208" s="67">
        <f>f_b_003_f_28_IProductCombution(B124,B126,B128,B122,A208,C193)</f>
        <v>24175.573199423372</v>
      </c>
      <c r="D208" s="67">
        <f>f_b_003_f_28_IProductCombution(B124,B126,B128,B122,A208,D193)</f>
        <v>28202.761403547083</v>
      </c>
      <c r="E208" s="67">
        <f>f_b_003_f_28_IProductCombution(B124,B126,B128,B122,A208,E193)</f>
        <v>28806.839634165641</v>
      </c>
    </row>
    <row r="209" spans="1:5" ht="15.75">
      <c r="A209" s="126">
        <v>1400</v>
      </c>
      <c r="B209" s="67">
        <f>f_b_003_f_26_IAir(B122,A209)</f>
        <v>21840.236969072168</v>
      </c>
      <c r="C209" s="67">
        <f>f_b_003_f_28_IProductCombution(B124,B126,B128,B122,A209,C193)</f>
        <v>26259.104633377839</v>
      </c>
      <c r="D209" s="67">
        <f>f_b_003_f_28_IProductCombution(B124,B126,B128,B122,A209,D193)</f>
        <v>30627.152027192271</v>
      </c>
      <c r="E209" s="67">
        <f>f_b_003_f_28_IProductCombution(B124,B126,B128,B122,A209,E193)</f>
        <v>31282.359136264437</v>
      </c>
    </row>
    <row r="210" spans="1:5" ht="15.75">
      <c r="A210" s="126">
        <v>1500</v>
      </c>
      <c r="B210" s="67">
        <f>f_b_003_f_26_IAir(B122,A210)</f>
        <v>23555.053262886599</v>
      </c>
      <c r="C210" s="67">
        <f>f_b_003_f_28_IProductCombution(B124,B126,B128,B122,A210,C193)</f>
        <v>28362.631635529036</v>
      </c>
      <c r="D210" s="67">
        <f>f_b_003_f_28_IProductCombution(B124,B126,B128,B122,A210,D193)</f>
        <v>33073.642288106355</v>
      </c>
      <c r="E210" s="67">
        <f>f_b_003_f_28_IProductCombution(B124,B126,B128,B122,A210,E193)</f>
        <v>33780.293885992956</v>
      </c>
    </row>
    <row r="211" spans="1:5" ht="15.75">
      <c r="A211" s="126">
        <v>1600</v>
      </c>
      <c r="B211" s="67">
        <f>f_b_003_f_26_IAir(B122,A211)</f>
        <v>25280.389902061859</v>
      </c>
      <c r="C211" s="67">
        <f>f_b_003_f_28_IProductCombution(B124,B126,B128,B122,A211,C193)</f>
        <v>30482.773911237462</v>
      </c>
      <c r="D211" s="67">
        <f>f_b_003_f_28_IProductCombution(B124,B126,B128,B122,A211,D193)</f>
        <v>35538.851891649829</v>
      </c>
      <c r="E211" s="67">
        <f>f_b_003_f_28_IProductCombution(B124,B126,B128,B122,A211,E193)</f>
        <v>36297.263588711692</v>
      </c>
    </row>
    <row r="212" spans="1:5" ht="15.75">
      <c r="A212" s="126">
        <v>1700</v>
      </c>
      <c r="B212" s="67">
        <f>f_b_003_f_26_IAir(B122,A212)</f>
        <v>27005.726541237116</v>
      </c>
      <c r="C212" s="67">
        <f>f_b_003_f_28_IProductCombution(B124,B126,B128,B122,A212,C193)</f>
        <v>32627.915801276467</v>
      </c>
      <c r="D212" s="67">
        <f>f_b_003_f_28_IProductCombution(B124,B126,B128,B122,A212,D193)</f>
        <v>38029.061109523886</v>
      </c>
      <c r="E212" s="67">
        <f>f_b_003_f_28_IProductCombution(B124,B126,B128,B122,A212,E193)</f>
        <v>38839.232905761004</v>
      </c>
    </row>
    <row r="213" spans="1:5" ht="15.75">
      <c r="A213" s="126">
        <v>1800</v>
      </c>
      <c r="B213" s="67">
        <f>f_b_003_f_26_IAir(B122,A213)</f>
        <v>28741.5835257732</v>
      </c>
      <c r="C213" s="67">
        <f>f_b_003_f_28_IProductCombution(B124,B126,B128,B122,A213,C193)</f>
        <v>34779.671744717874</v>
      </c>
      <c r="D213" s="67">
        <f>f_b_003_f_28_IProductCombution(B124,B126,B128,B122,A213,D193)</f>
        <v>40527.988449872515</v>
      </c>
      <c r="E213" s="67">
        <f>f_b_003_f_28_IProductCombution(B124,B126,B128,B122,A213,E193)</f>
        <v>41390.235955645709</v>
      </c>
    </row>
    <row r="214" spans="1:5" ht="15.75">
      <c r="A214" s="126">
        <v>1900</v>
      </c>
      <c r="B214" s="67">
        <f>f_b_003_f_26_IAir(B122,A214)</f>
        <v>30498.481201030932</v>
      </c>
      <c r="C214" s="67">
        <f>f_b_003_f_28_IProductCombution(B124,B126,B128,B122,A214,C193)</f>
        <v>36936.498130118562</v>
      </c>
      <c r="D214" s="67">
        <f>f_b_003_f_28_IProductCombution(B124,B126,B128,B122,A214,D193)</f>
        <v>43036.194370324745</v>
      </c>
      <c r="E214" s="67">
        <f>f_b_003_f_28_IProductCombution(B124,B126,B128,B122,A214,E193)</f>
        <v>43951.148806355675</v>
      </c>
    </row>
    <row r="215" spans="1:5" ht="15.75">
      <c r="A215" s="126">
        <v>2000</v>
      </c>
      <c r="B215" s="67">
        <f>f_b_003_f_26_IAir(B122,A215)</f>
        <v>32255.378876288662</v>
      </c>
      <c r="C215" s="67">
        <f>f_b_003_f_28_IProductCombution(B124,B126,B128,B122,A215,C193)</f>
        <v>39110.013057014781</v>
      </c>
      <c r="D215" s="67">
        <f>f_b_003_f_28_IProductCombution(B124,B126,B128,B122,A215,D193)</f>
        <v>45561.088832272515</v>
      </c>
      <c r="E215" s="67">
        <f>f_b_003_f_28_IProductCombution(B124,B126,B128,B122,A215,E193)</f>
        <v>46528.750198561174</v>
      </c>
    </row>
    <row r="216" spans="1:5" ht="15.75">
      <c r="A216" s="126">
        <v>2100</v>
      </c>
      <c r="B216" s="67">
        <f>f_b_003_f_26_IAir(B122,A216)</f>
        <v>34022.796896907217</v>
      </c>
      <c r="C216" s="67">
        <f>f_b_003_f_28_IProductCombution(B124,B126,B128,B122,A216,C193)</f>
        <v>41295.146083447253</v>
      </c>
      <c r="D216" s="67">
        <f>f_b_003_f_28_IProductCombution(B124,B126,B128,B122,A216,D193)</f>
        <v>48099.705462828693</v>
      </c>
      <c r="E216" s="67">
        <f>f_b_003_f_28_IProductCombution(B124,B126,B128,B122,A216,E193)</f>
        <v>49120.389369735909</v>
      </c>
    </row>
    <row r="217" spans="1:5" ht="15.75">
      <c r="A217" s="126">
        <v>2200</v>
      </c>
      <c r="B217" s="67">
        <f>f_b_003_f_26_IAir(B122,A217)</f>
        <v>35790.21491752578</v>
      </c>
      <c r="C217" s="67">
        <f>f_b_003_f_28_IProductCombution(B124,B126,B128,B122,A217,C193)</f>
        <v>43483.659404519254</v>
      </c>
      <c r="D217" s="67">
        <f>f_b_003_f_28_IProductCombution(B124,B126,B128,B122,A217,D193)</f>
        <v>50641.702388024409</v>
      </c>
      <c r="E217" s="67">
        <f>f_b_003_f_28_IProductCombution(B124,B126,B128,B122,A217,E193)</f>
        <v>51715.408835550181</v>
      </c>
    </row>
    <row r="218" spans="1:5" ht="15.75">
      <c r="A218" s="126">
        <v>2300</v>
      </c>
      <c r="B218" s="67">
        <f>f_b_003_f_26_IAir(B122,A218)</f>
        <v>37568.153283505155</v>
      </c>
      <c r="C218" s="67">
        <f>f_b_003_f_28_IProductCombution(B124,B126,B128,B122,A218,C193)</f>
        <v>45685.480972447258</v>
      </c>
      <c r="D218" s="67">
        <f>f_b_003_f_28_IProductCombution(B124,B126,B128,B122,A218,D193)</f>
        <v>53199.11162914829</v>
      </c>
      <c r="E218" s="67">
        <f>f_b_003_f_28_IProductCombution(B124,B126,B128,B122,A218,E193)</f>
        <v>54326.156227653439</v>
      </c>
    </row>
    <row r="220" spans="1:5">
      <c r="A220" s="43" t="s">
        <v>487</v>
      </c>
    </row>
    <row r="222" spans="1:5">
      <c r="A222" s="7" t="s">
        <v>474</v>
      </c>
      <c r="B222" s="1">
        <v>41440</v>
      </c>
    </row>
    <row r="223" spans="1:5">
      <c r="A223" s="7" t="s">
        <v>480</v>
      </c>
      <c r="B223" s="65">
        <f>C193</f>
        <v>1</v>
      </c>
      <c r="C223" s="65">
        <f>D193</f>
        <v>1.2</v>
      </c>
      <c r="D223" s="1">
        <v>1.1499999999999999</v>
      </c>
    </row>
    <row r="224" spans="1:5">
      <c r="A224" s="7" t="s">
        <v>479</v>
      </c>
      <c r="B224" s="67">
        <f>f_b_000_Interpolate(B222,C194:C218,A194:A218)</f>
        <v>2106.618827272287</v>
      </c>
      <c r="C224" s="65">
        <f>f_b_000_Interpolate(B222,D194:D218,A194:A218)</f>
        <v>1836.3611114498544</v>
      </c>
      <c r="D224" s="125">
        <f>f_b_000_Interpolate(D223,B223:C223,B224:C224)</f>
        <v>1903.9255404054627</v>
      </c>
    </row>
  </sheetData>
  <pageMargins left="0.70866141732283472" right="0.70866141732283472" top="0.74803149606299213" bottom="0.74803149606299213" header="0.31496062992125984" footer="0.31496062992125984"/>
  <pageSetup paperSize="9" scale="29" fitToHeight="0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8"/>
  <dimension ref="A1:Z148"/>
  <sheetViews>
    <sheetView workbookViewId="0">
      <selection activeCell="E24" sqref="E24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26">
      <c r="A1" s="17" t="s">
        <v>119</v>
      </c>
      <c r="B1" s="16" t="s">
        <v>118</v>
      </c>
      <c r="C1" s="19" t="s">
        <v>120</v>
      </c>
    </row>
    <row r="2" spans="1:26">
      <c r="A2" s="7"/>
      <c r="C2" s="20"/>
    </row>
    <row r="3" spans="1:26">
      <c r="A3" s="17" t="s">
        <v>797</v>
      </c>
      <c r="B3" t="s">
        <v>770</v>
      </c>
      <c r="C3" s="102">
        <v>0.23</v>
      </c>
    </row>
    <row r="4" spans="1:26">
      <c r="A4" s="17"/>
      <c r="C4" s="20"/>
    </row>
    <row r="5" spans="1:26" s="6" customFormat="1">
      <c r="A5" s="43" t="s">
        <v>771</v>
      </c>
      <c r="B5" s="6" t="s">
        <v>98</v>
      </c>
      <c r="C5" s="19">
        <v>223.53</v>
      </c>
      <c r="D5" s="6">
        <v>229.52</v>
      </c>
      <c r="E5" s="6">
        <v>235.45</v>
      </c>
      <c r="F5" s="6">
        <v>241.34</v>
      </c>
      <c r="G5" s="6">
        <v>247.17</v>
      </c>
      <c r="H5" s="6">
        <v>252.96</v>
      </c>
      <c r="I5" s="6">
        <v>258.69</v>
      </c>
      <c r="J5" s="6">
        <v>264.36</v>
      </c>
      <c r="K5" s="6">
        <v>269.99</v>
      </c>
      <c r="L5" s="6">
        <v>275.55</v>
      </c>
      <c r="M5" s="6">
        <v>281.06</v>
      </c>
      <c r="N5" s="6">
        <v>286.51</v>
      </c>
      <c r="O5" s="6">
        <v>291.89999999999998</v>
      </c>
      <c r="P5" s="6">
        <v>297.23</v>
      </c>
      <c r="Q5" s="6">
        <v>302.5</v>
      </c>
      <c r="R5" s="6">
        <v>307.7</v>
      </c>
      <c r="S5" s="6">
        <v>312.83</v>
      </c>
      <c r="T5" s="6">
        <v>317.89999999999998</v>
      </c>
      <c r="U5" s="6">
        <v>322.89999999999998</v>
      </c>
      <c r="V5" s="6">
        <v>327.84</v>
      </c>
      <c r="W5" s="6">
        <v>332.72</v>
      </c>
      <c r="X5" s="6">
        <v>337.53</v>
      </c>
      <c r="Y5" s="6">
        <v>342.29</v>
      </c>
      <c r="Z5" s="6">
        <v>347</v>
      </c>
    </row>
    <row r="6" spans="1:26">
      <c r="A6" t="s">
        <v>772</v>
      </c>
      <c r="B6" t="s">
        <v>102</v>
      </c>
      <c r="C6">
        <v>703.12</v>
      </c>
      <c r="D6">
        <v>700.24</v>
      </c>
      <c r="E6">
        <v>697.37</v>
      </c>
      <c r="F6">
        <v>694.49</v>
      </c>
      <c r="G6">
        <v>691.62</v>
      </c>
      <c r="H6">
        <v>688.74</v>
      </c>
      <c r="I6">
        <v>685.86</v>
      </c>
      <c r="J6">
        <v>682.98</v>
      </c>
      <c r="K6">
        <v>680.11</v>
      </c>
      <c r="L6">
        <v>677.24</v>
      </c>
      <c r="M6">
        <v>674.37</v>
      </c>
      <c r="N6">
        <v>671.52</v>
      </c>
      <c r="O6">
        <v>668.68</v>
      </c>
      <c r="P6">
        <v>665.86</v>
      </c>
      <c r="Q6">
        <v>663.06</v>
      </c>
      <c r="R6">
        <v>660.3</v>
      </c>
      <c r="S6">
        <v>657.56</v>
      </c>
      <c r="T6">
        <v>654.86</v>
      </c>
      <c r="U6">
        <v>652.21</v>
      </c>
      <c r="V6">
        <v>649.61</v>
      </c>
      <c r="W6">
        <v>647.07000000000005</v>
      </c>
      <c r="X6">
        <v>644.59</v>
      </c>
      <c r="Y6">
        <v>642.17999999999995</v>
      </c>
      <c r="Z6">
        <v>639.86</v>
      </c>
    </row>
    <row r="7" spans="1:26">
      <c r="A7" t="s">
        <v>773</v>
      </c>
      <c r="B7" t="s">
        <v>774</v>
      </c>
      <c r="C7">
        <v>2.585</v>
      </c>
      <c r="D7">
        <v>2.6070000000000002</v>
      </c>
      <c r="E7">
        <v>2.6280000000000001</v>
      </c>
      <c r="F7">
        <v>2.649</v>
      </c>
      <c r="G7">
        <v>2.67</v>
      </c>
      <c r="H7">
        <v>2.6909999999999998</v>
      </c>
      <c r="I7">
        <v>2.7109999999999999</v>
      </c>
      <c r="J7">
        <v>2.7309999999999999</v>
      </c>
      <c r="K7">
        <v>2.75</v>
      </c>
      <c r="L7">
        <v>2.77</v>
      </c>
      <c r="M7">
        <v>2.7890000000000001</v>
      </c>
      <c r="N7">
        <v>2.8069999999999999</v>
      </c>
      <c r="O7">
        <v>2.8260000000000001</v>
      </c>
      <c r="P7">
        <v>2.8439999999999999</v>
      </c>
      <c r="Q7">
        <v>2.8610000000000002</v>
      </c>
      <c r="R7">
        <v>2.879</v>
      </c>
      <c r="S7">
        <v>2.8959999999999999</v>
      </c>
      <c r="T7">
        <v>2.9129999999999998</v>
      </c>
      <c r="U7">
        <v>2.9289999999999998</v>
      </c>
      <c r="V7">
        <v>2.9460000000000002</v>
      </c>
      <c r="W7">
        <v>2.9609999999999999</v>
      </c>
      <c r="X7">
        <v>2.9769999999999999</v>
      </c>
      <c r="Y7">
        <v>2.992</v>
      </c>
      <c r="Z7">
        <v>3.0070000000000001</v>
      </c>
    </row>
    <row r="8" spans="1:26">
      <c r="A8" t="s">
        <v>775</v>
      </c>
      <c r="B8" t="s">
        <v>776</v>
      </c>
      <c r="C8">
        <v>0.29509999999999997</v>
      </c>
      <c r="D8">
        <v>0.2802</v>
      </c>
      <c r="E8">
        <v>0.2661</v>
      </c>
      <c r="F8">
        <v>0.2525</v>
      </c>
      <c r="G8">
        <v>0.24</v>
      </c>
      <c r="H8">
        <v>0.2281</v>
      </c>
      <c r="I8">
        <v>0.21679999999999999</v>
      </c>
      <c r="J8">
        <v>0.20610000000000001</v>
      </c>
      <c r="K8">
        <v>0.19600000000000001</v>
      </c>
      <c r="L8">
        <v>0.1862</v>
      </c>
      <c r="M8">
        <v>0.17710000000000001</v>
      </c>
      <c r="N8">
        <v>0.16850000000000001</v>
      </c>
      <c r="O8">
        <v>0.16020000000000001</v>
      </c>
      <c r="P8">
        <v>0.1525</v>
      </c>
      <c r="Q8">
        <v>0.14499999999999999</v>
      </c>
      <c r="R8">
        <v>0.13789999999999999</v>
      </c>
      <c r="S8">
        <v>0.1313</v>
      </c>
      <c r="T8">
        <v>0.1249</v>
      </c>
      <c r="U8">
        <v>0.1188</v>
      </c>
      <c r="V8">
        <v>0.1132</v>
      </c>
      <c r="W8">
        <v>0.10780000000000001</v>
      </c>
      <c r="X8">
        <v>0.1028</v>
      </c>
      <c r="Y8">
        <v>9.8599999999999993E-2</v>
      </c>
      <c r="Z8">
        <v>9.4500000000000001E-2</v>
      </c>
    </row>
    <row r="9" spans="1:26">
      <c r="A9" t="s">
        <v>777</v>
      </c>
      <c r="B9" t="s">
        <v>778</v>
      </c>
      <c r="C9">
        <v>9.5399999999999999E-2</v>
      </c>
      <c r="D9">
        <v>9.5100000000000004E-2</v>
      </c>
      <c r="E9">
        <v>9.4700000000000006E-2</v>
      </c>
      <c r="F9">
        <v>9.4399999999999998E-2</v>
      </c>
      <c r="G9">
        <v>9.4100000000000003E-2</v>
      </c>
      <c r="H9">
        <v>9.3700000000000006E-2</v>
      </c>
      <c r="I9">
        <v>9.3299999999999994E-2</v>
      </c>
      <c r="J9">
        <v>9.2899999999999996E-2</v>
      </c>
      <c r="K9">
        <v>9.2499999999999999E-2</v>
      </c>
      <c r="L9">
        <v>9.1999999999999998E-2</v>
      </c>
      <c r="M9">
        <v>9.1600000000000001E-2</v>
      </c>
      <c r="N9">
        <v>9.1200000000000003E-2</v>
      </c>
      <c r="O9">
        <v>9.0700000000000003E-2</v>
      </c>
      <c r="P9">
        <v>9.0300000000000005E-2</v>
      </c>
      <c r="Q9">
        <v>8.9800000000000005E-2</v>
      </c>
      <c r="R9">
        <v>8.9399999999999993E-2</v>
      </c>
      <c r="S9">
        <v>8.8900000000000007E-2</v>
      </c>
      <c r="T9">
        <v>8.8499999999999995E-2</v>
      </c>
      <c r="U9">
        <v>8.7999999999999995E-2</v>
      </c>
      <c r="V9">
        <v>8.7599999999999997E-2</v>
      </c>
      <c r="W9">
        <v>8.7099999999999997E-2</v>
      </c>
      <c r="X9">
        <v>8.6699999999999999E-2</v>
      </c>
      <c r="Y9">
        <v>8.6199999999999999E-2</v>
      </c>
      <c r="Z9">
        <v>8.5800000000000001E-2</v>
      </c>
    </row>
    <row r="10" spans="1:26">
      <c r="A10" t="s">
        <v>779</v>
      </c>
      <c r="B10" t="s">
        <v>780</v>
      </c>
      <c r="C10">
        <v>1.38E-2</v>
      </c>
      <c r="D10">
        <v>1.3599999999999999E-2</v>
      </c>
      <c r="E10">
        <v>1.34E-2</v>
      </c>
      <c r="F10">
        <v>1.32E-2</v>
      </c>
      <c r="G10">
        <v>1.2999999999999999E-2</v>
      </c>
      <c r="H10">
        <v>1.2800000000000001E-2</v>
      </c>
      <c r="I10">
        <v>1.26E-2</v>
      </c>
      <c r="J10">
        <v>1.24E-2</v>
      </c>
      <c r="K10">
        <v>1.2200000000000001E-2</v>
      </c>
      <c r="L10">
        <v>1.2E-2</v>
      </c>
      <c r="M10">
        <v>1.18E-2</v>
      </c>
      <c r="N10">
        <v>1.1599999999999999E-2</v>
      </c>
      <c r="O10">
        <v>1.14E-2</v>
      </c>
      <c r="P10">
        <v>1.1299999999999999E-2</v>
      </c>
      <c r="Q10">
        <v>1.11E-2</v>
      </c>
      <c r="R10">
        <v>1.09E-2</v>
      </c>
      <c r="S10">
        <v>1.0699999999999999E-2</v>
      </c>
      <c r="T10">
        <v>1.06E-2</v>
      </c>
      <c r="U10">
        <v>1.04E-2</v>
      </c>
      <c r="V10">
        <v>1.0200000000000001E-2</v>
      </c>
      <c r="W10">
        <v>1.01E-2</v>
      </c>
      <c r="X10">
        <v>9.9000000000000008E-3</v>
      </c>
      <c r="Y10">
        <v>9.7999999999999997E-3</v>
      </c>
      <c r="Z10">
        <v>9.5999999999999992E-3</v>
      </c>
    </row>
    <row r="11" spans="1:26">
      <c r="A11" t="s">
        <v>781</v>
      </c>
      <c r="C11">
        <v>379.52179999999998</v>
      </c>
      <c r="D11">
        <v>384.78339999999997</v>
      </c>
      <c r="E11">
        <v>390.00420000000003</v>
      </c>
      <c r="F11">
        <v>395.18090000000001</v>
      </c>
      <c r="G11">
        <v>400.31040000000002</v>
      </c>
      <c r="H11">
        <v>405.39069999999998</v>
      </c>
      <c r="I11">
        <v>410.42009999999999</v>
      </c>
      <c r="J11">
        <v>415.39780000000002</v>
      </c>
      <c r="K11">
        <v>420.32380000000001</v>
      </c>
      <c r="L11">
        <v>425.19920000000002</v>
      </c>
      <c r="M11">
        <v>430.02629999999999</v>
      </c>
      <c r="N11">
        <v>434.80880000000002</v>
      </c>
      <c r="O11">
        <v>439.55189999999999</v>
      </c>
      <c r="P11">
        <v>444.2629</v>
      </c>
      <c r="Q11">
        <v>448.95089999999999</v>
      </c>
      <c r="R11">
        <v>453.62729999999999</v>
      </c>
      <c r="S11">
        <v>458.30630000000002</v>
      </c>
      <c r="T11">
        <v>463.00459999999998</v>
      </c>
      <c r="U11">
        <v>467.74209999999999</v>
      </c>
      <c r="V11">
        <v>472.54199999999997</v>
      </c>
      <c r="W11">
        <v>477.43150000000003</v>
      </c>
      <c r="X11">
        <v>482.44189999999998</v>
      </c>
      <c r="Y11">
        <v>487.60910000000001</v>
      </c>
      <c r="Z11">
        <v>492.97430000000003</v>
      </c>
    </row>
    <row r="12" spans="1:26" s="6" customFormat="1">
      <c r="A12" s="6" t="s">
        <v>782</v>
      </c>
      <c r="B12" s="6" t="s">
        <v>783</v>
      </c>
      <c r="C12" s="6">
        <v>-1565.1</v>
      </c>
      <c r="D12" s="6">
        <v>-1547.4</v>
      </c>
      <c r="E12" s="6">
        <v>-1529.7</v>
      </c>
      <c r="F12" s="6">
        <v>-1512</v>
      </c>
      <c r="G12" s="6">
        <v>-1494.3</v>
      </c>
      <c r="H12" s="6">
        <v>-1476.6</v>
      </c>
      <c r="I12" s="6">
        <v>-1458.9</v>
      </c>
      <c r="J12" s="6">
        <v>-1441.1</v>
      </c>
      <c r="K12" s="6">
        <v>-1423.4</v>
      </c>
      <c r="L12" s="6">
        <v>-1405.7</v>
      </c>
      <c r="M12" s="6">
        <v>-1388</v>
      </c>
      <c r="N12" s="6">
        <v>-1370.3</v>
      </c>
      <c r="O12" s="6">
        <v>-1352.6</v>
      </c>
      <c r="P12" s="6">
        <v>-1334.9</v>
      </c>
      <c r="Q12" s="6">
        <v>-1317.1</v>
      </c>
      <c r="R12" s="6">
        <v>-1299.4000000000001</v>
      </c>
      <c r="S12" s="6">
        <v>-1281.7</v>
      </c>
      <c r="T12" s="6">
        <v>-1264</v>
      </c>
      <c r="U12" s="6">
        <v>-1246.3</v>
      </c>
      <c r="V12" s="6">
        <v>-1228.5999999999999</v>
      </c>
      <c r="W12" s="6">
        <v>-1210.9000000000001</v>
      </c>
      <c r="X12" s="6">
        <v>-1193.0999999999999</v>
      </c>
      <c r="Y12" s="6">
        <v>-1175.4000000000001</v>
      </c>
      <c r="Z12" s="6">
        <v>-1157.7</v>
      </c>
    </row>
    <row r="13" spans="1:26" s="6" customFormat="1">
      <c r="A13" s="6" t="s">
        <v>784</v>
      </c>
      <c r="C13" s="6">
        <v>0.23596149999999999</v>
      </c>
      <c r="D13" s="187">
        <v>0.24905089999999999</v>
      </c>
      <c r="E13" s="187">
        <v>0.26238719999999999</v>
      </c>
      <c r="F13" s="187">
        <v>0.27600150000000001</v>
      </c>
      <c r="G13" s="187">
        <v>0.2899292</v>
      </c>
      <c r="H13" s="6">
        <v>0.30421019999999999</v>
      </c>
      <c r="I13" s="6">
        <v>0.31888860000000002</v>
      </c>
      <c r="J13" s="6">
        <v>0.3340128</v>
      </c>
      <c r="K13" s="6">
        <v>0.34963569999999999</v>
      </c>
      <c r="L13" s="6">
        <v>0.36581399999999997</v>
      </c>
      <c r="M13" s="187">
        <v>0.38260899999999998</v>
      </c>
      <c r="N13" s="187">
        <v>0.40008389999999999</v>
      </c>
      <c r="O13" s="187">
        <v>0.41830460000000003</v>
      </c>
      <c r="P13" s="187">
        <v>0.43733820000000001</v>
      </c>
      <c r="Q13" s="187">
        <v>0.45724989999999999</v>
      </c>
      <c r="R13" s="187">
        <v>0.4781029</v>
      </c>
      <c r="S13" s="187">
        <v>0.49995469999999997</v>
      </c>
      <c r="T13" s="187">
        <v>0.52285459999999995</v>
      </c>
      <c r="U13" s="187">
        <v>0.54684029999999995</v>
      </c>
      <c r="V13" s="187">
        <v>0.57193439999999995</v>
      </c>
      <c r="W13" s="187">
        <v>0.59813989999999995</v>
      </c>
      <c r="X13" s="187">
        <v>0.62543570000000004</v>
      </c>
      <c r="Y13" s="187">
        <v>0.65377130000000006</v>
      </c>
      <c r="Z13" s="187">
        <v>0.6830619</v>
      </c>
    </row>
    <row r="14" spans="1:26">
      <c r="A14" t="s">
        <v>785</v>
      </c>
      <c r="B14" t="s">
        <v>102</v>
      </c>
      <c r="C14">
        <v>7.08</v>
      </c>
      <c r="D14">
        <v>7.15</v>
      </c>
      <c r="E14">
        <v>7.23</v>
      </c>
      <c r="F14">
        <v>7.3</v>
      </c>
      <c r="G14">
        <v>7.38</v>
      </c>
      <c r="H14">
        <v>7.46</v>
      </c>
      <c r="I14">
        <v>7.55</v>
      </c>
      <c r="J14">
        <v>7.64</v>
      </c>
      <c r="K14">
        <v>7.73</v>
      </c>
      <c r="L14">
        <v>7.82</v>
      </c>
      <c r="M14">
        <v>7.92</v>
      </c>
      <c r="N14">
        <v>8.02</v>
      </c>
      <c r="O14">
        <v>8.1300000000000008</v>
      </c>
      <c r="P14">
        <v>8.25</v>
      </c>
      <c r="Q14">
        <v>8.3699999999999992</v>
      </c>
      <c r="R14">
        <v>8.49</v>
      </c>
      <c r="S14">
        <v>8.6199999999999992</v>
      </c>
      <c r="T14">
        <v>8.76</v>
      </c>
      <c r="U14">
        <v>8.9</v>
      </c>
      <c r="V14">
        <v>9.0399999999999991</v>
      </c>
      <c r="W14">
        <v>9.19</v>
      </c>
      <c r="X14">
        <v>9.35</v>
      </c>
      <c r="Y14">
        <v>9.5</v>
      </c>
      <c r="Z14">
        <v>9.66</v>
      </c>
    </row>
    <row r="15" spans="1:26">
      <c r="A15" t="s">
        <v>786</v>
      </c>
      <c r="B15" t="s">
        <v>774</v>
      </c>
      <c r="C15">
        <v>2.5019999999999998</v>
      </c>
      <c r="D15">
        <v>2.52</v>
      </c>
      <c r="E15">
        <v>2.5379999999999998</v>
      </c>
      <c r="F15">
        <v>2.5550000000000002</v>
      </c>
      <c r="G15">
        <v>2.573</v>
      </c>
      <c r="H15">
        <v>2.59</v>
      </c>
      <c r="I15">
        <v>2.6070000000000002</v>
      </c>
      <c r="J15">
        <v>2.6240000000000001</v>
      </c>
      <c r="K15">
        <v>2.641</v>
      </c>
      <c r="L15">
        <v>2.657</v>
      </c>
      <c r="M15">
        <v>2.673</v>
      </c>
      <c r="N15">
        <v>2.6890000000000001</v>
      </c>
      <c r="O15">
        <v>2.7040000000000002</v>
      </c>
      <c r="P15">
        <v>2.72</v>
      </c>
      <c r="Q15">
        <v>2.7349999999999999</v>
      </c>
      <c r="R15">
        <v>2.7490000000000001</v>
      </c>
      <c r="S15">
        <v>2.7639999999999998</v>
      </c>
      <c r="T15">
        <v>2.778</v>
      </c>
      <c r="U15">
        <v>2.7919999999999998</v>
      </c>
      <c r="V15">
        <v>2.8050000000000002</v>
      </c>
      <c r="W15">
        <v>2.8180000000000001</v>
      </c>
      <c r="X15">
        <v>2.831</v>
      </c>
      <c r="Y15">
        <v>2.8439999999999999</v>
      </c>
      <c r="Z15">
        <v>2.8570000000000002</v>
      </c>
    </row>
    <row r="16" spans="1:26">
      <c r="A16" t="s">
        <v>787</v>
      </c>
      <c r="B16" t="s">
        <v>776</v>
      </c>
      <c r="C16">
        <v>1.3299999999999999E-2</v>
      </c>
      <c r="D16">
        <v>1.34E-2</v>
      </c>
      <c r="E16">
        <v>1.35E-2</v>
      </c>
      <c r="F16">
        <v>1.35E-2</v>
      </c>
      <c r="G16">
        <v>1.3599999999999999E-2</v>
      </c>
      <c r="H16">
        <v>1.37E-2</v>
      </c>
      <c r="I16">
        <v>1.37E-2</v>
      </c>
      <c r="J16">
        <v>1.38E-2</v>
      </c>
      <c r="K16">
        <v>1.3899999999999999E-2</v>
      </c>
      <c r="L16">
        <v>1.3899999999999999E-2</v>
      </c>
      <c r="M16">
        <v>1.4E-2</v>
      </c>
      <c r="N16">
        <v>1.4E-2</v>
      </c>
      <c r="O16">
        <v>1.41E-2</v>
      </c>
      <c r="P16">
        <v>1.41E-2</v>
      </c>
      <c r="Q16">
        <v>1.4200000000000001E-2</v>
      </c>
      <c r="R16">
        <v>1.4200000000000001E-2</v>
      </c>
      <c r="S16">
        <v>1.43E-2</v>
      </c>
      <c r="T16">
        <v>1.43E-2</v>
      </c>
      <c r="U16">
        <v>1.43E-2</v>
      </c>
      <c r="V16">
        <v>1.44E-2</v>
      </c>
      <c r="W16">
        <v>1.44E-2</v>
      </c>
      <c r="X16">
        <v>1.44E-2</v>
      </c>
      <c r="Y16">
        <v>1.44E-2</v>
      </c>
      <c r="Z16">
        <v>1.44E-2</v>
      </c>
    </row>
    <row r="17" spans="1:26">
      <c r="A17" t="s">
        <v>788</v>
      </c>
      <c r="B17" t="s">
        <v>778</v>
      </c>
      <c r="C17">
        <v>0.04</v>
      </c>
      <c r="D17">
        <v>4.0399999999999998E-2</v>
      </c>
      <c r="E17">
        <v>4.0899999999999999E-2</v>
      </c>
      <c r="F17">
        <v>4.1300000000000003E-2</v>
      </c>
      <c r="G17">
        <v>4.1700000000000001E-2</v>
      </c>
      <c r="H17">
        <v>4.2099999999999999E-2</v>
      </c>
      <c r="I17">
        <v>4.2500000000000003E-2</v>
      </c>
      <c r="J17">
        <v>4.2900000000000001E-2</v>
      </c>
      <c r="K17">
        <v>4.3299999999999998E-2</v>
      </c>
      <c r="L17">
        <v>4.36E-2</v>
      </c>
      <c r="M17">
        <v>4.3999999999999997E-2</v>
      </c>
      <c r="N17">
        <v>4.4299999999999999E-2</v>
      </c>
      <c r="O17">
        <v>4.4699999999999997E-2</v>
      </c>
      <c r="P17">
        <v>4.4999999999999998E-2</v>
      </c>
      <c r="Q17">
        <v>4.53E-2</v>
      </c>
      <c r="R17">
        <v>4.5600000000000002E-2</v>
      </c>
      <c r="S17">
        <v>4.58E-2</v>
      </c>
      <c r="T17">
        <v>4.6100000000000002E-2</v>
      </c>
      <c r="U17">
        <v>4.6300000000000001E-2</v>
      </c>
      <c r="V17">
        <v>4.65E-2</v>
      </c>
      <c r="W17">
        <v>4.6699999999999998E-2</v>
      </c>
      <c r="X17">
        <v>4.6899999999999997E-2</v>
      </c>
      <c r="Y17">
        <v>4.7100000000000003E-2</v>
      </c>
      <c r="Z17">
        <v>4.7300000000000002E-2</v>
      </c>
    </row>
    <row r="18" spans="1:26">
      <c r="A18" t="s">
        <v>789</v>
      </c>
      <c r="C18">
        <v>122.65089999999999</v>
      </c>
      <c r="D18">
        <v>125.44159999999999</v>
      </c>
      <c r="E18">
        <v>128.2619</v>
      </c>
      <c r="F18">
        <v>131.12090000000001</v>
      </c>
      <c r="G18">
        <v>134.0275</v>
      </c>
      <c r="H18">
        <v>136.9907</v>
      </c>
      <c r="I18">
        <v>140.01929999999999</v>
      </c>
      <c r="J18">
        <v>143.1224</v>
      </c>
      <c r="K18">
        <v>146.30860000000001</v>
      </c>
      <c r="L18">
        <v>149.58629999999999</v>
      </c>
      <c r="M18">
        <v>152.9639</v>
      </c>
      <c r="N18">
        <v>156.4487</v>
      </c>
      <c r="O18">
        <v>160.04769999999999</v>
      </c>
      <c r="P18">
        <v>163.7663</v>
      </c>
      <c r="Q18">
        <v>167.6088</v>
      </c>
      <c r="R18">
        <v>171.57769999999999</v>
      </c>
      <c r="S18">
        <v>175.67320000000001</v>
      </c>
      <c r="T18">
        <v>179.89359999999999</v>
      </c>
      <c r="U18">
        <v>184.23400000000001</v>
      </c>
      <c r="V18">
        <v>188.68690000000001</v>
      </c>
      <c r="W18">
        <v>193.24160000000001</v>
      </c>
      <c r="X18">
        <v>197.88419999999999</v>
      </c>
      <c r="Y18">
        <v>202.59700000000001</v>
      </c>
      <c r="Z18">
        <v>207.35929999999999</v>
      </c>
    </row>
    <row r="19" spans="1:26" s="6" customFormat="1">
      <c r="A19" s="6" t="s">
        <v>790</v>
      </c>
    </row>
    <row r="20" spans="1:26">
      <c r="A20" t="s">
        <v>772</v>
      </c>
      <c r="B20" t="s">
        <v>102</v>
      </c>
    </row>
    <row r="21" spans="1:26">
      <c r="A21" t="s">
        <v>791</v>
      </c>
      <c r="B21" t="s">
        <v>774</v>
      </c>
    </row>
    <row r="22" spans="1:26">
      <c r="A22" t="s">
        <v>792</v>
      </c>
      <c r="B22" t="s">
        <v>776</v>
      </c>
    </row>
    <row r="23" spans="1:26">
      <c r="A23" t="s">
        <v>793</v>
      </c>
      <c r="B23" t="s">
        <v>778</v>
      </c>
    </row>
    <row r="24" spans="1:26">
      <c r="A24" t="s">
        <v>794</v>
      </c>
      <c r="B24" t="s">
        <v>780</v>
      </c>
    </row>
    <row r="25" spans="1:26">
      <c r="A25" t="s">
        <v>795</v>
      </c>
    </row>
    <row r="27" spans="1:26">
      <c r="A27" s="17" t="s">
        <v>796</v>
      </c>
      <c r="B27" t="s">
        <v>770</v>
      </c>
      <c r="C27" s="102">
        <v>0.48</v>
      </c>
    </row>
    <row r="29" spans="1:26" s="6" customFormat="1">
      <c r="A29" s="6" t="s">
        <v>771</v>
      </c>
      <c r="B29" s="6" t="s">
        <v>98</v>
      </c>
      <c r="C29" s="6">
        <v>228.7</v>
      </c>
      <c r="D29" s="6">
        <v>234.7</v>
      </c>
      <c r="E29" s="6">
        <v>240.66</v>
      </c>
      <c r="F29" s="6">
        <v>246.56</v>
      </c>
      <c r="G29" s="6">
        <v>252.42</v>
      </c>
      <c r="H29" s="6">
        <v>258.24</v>
      </c>
      <c r="I29" s="6">
        <v>264</v>
      </c>
      <c r="J29" s="6">
        <v>269.73</v>
      </c>
      <c r="K29" s="6">
        <v>275.41000000000003</v>
      </c>
      <c r="L29" s="6">
        <v>281.04000000000002</v>
      </c>
      <c r="M29" s="6">
        <v>286.62</v>
      </c>
      <c r="N29" s="6">
        <v>292.16000000000003</v>
      </c>
      <c r="O29" s="6">
        <v>297.66000000000003</v>
      </c>
      <c r="P29" s="6">
        <v>303.10000000000002</v>
      </c>
      <c r="Q29" s="6">
        <v>308.5</v>
      </c>
      <c r="R29" s="6">
        <v>313.85000000000002</v>
      </c>
      <c r="S29" s="6">
        <v>319.14</v>
      </c>
      <c r="T29" s="6">
        <v>324.39</v>
      </c>
      <c r="U29" s="6">
        <v>329.59</v>
      </c>
      <c r="V29" s="6">
        <v>334.73</v>
      </c>
      <c r="W29" s="6">
        <v>339.82</v>
      </c>
      <c r="X29" s="6">
        <v>344.85</v>
      </c>
      <c r="Y29" s="6">
        <v>349.84</v>
      </c>
      <c r="Z29" s="6">
        <v>354.76</v>
      </c>
    </row>
    <row r="30" spans="1:26">
      <c r="A30" t="s">
        <v>772</v>
      </c>
      <c r="B30" t="s">
        <v>102</v>
      </c>
      <c r="C30">
        <v>684.17</v>
      </c>
      <c r="D30">
        <v>681.13</v>
      </c>
      <c r="E30">
        <v>678.11</v>
      </c>
      <c r="F30">
        <v>675.1</v>
      </c>
      <c r="G30">
        <v>672.11</v>
      </c>
      <c r="H30">
        <v>669.13</v>
      </c>
      <c r="I30">
        <v>666.15</v>
      </c>
      <c r="J30">
        <v>663.17</v>
      </c>
      <c r="K30">
        <v>660.2</v>
      </c>
      <c r="L30">
        <v>657.23</v>
      </c>
      <c r="M30">
        <v>654.26</v>
      </c>
      <c r="N30">
        <v>651.29999999999995</v>
      </c>
      <c r="O30">
        <v>648.34</v>
      </c>
      <c r="P30">
        <v>645.38</v>
      </c>
      <c r="Q30">
        <v>642.41999999999996</v>
      </c>
      <c r="R30">
        <v>639.47</v>
      </c>
      <c r="S30">
        <v>636.53</v>
      </c>
      <c r="T30">
        <v>633.6</v>
      </c>
      <c r="U30">
        <v>630.69000000000005</v>
      </c>
      <c r="V30">
        <v>627.79</v>
      </c>
      <c r="W30">
        <v>624.91</v>
      </c>
      <c r="X30">
        <v>622.05999999999995</v>
      </c>
      <c r="Y30">
        <v>619.23</v>
      </c>
      <c r="Z30">
        <v>616.44000000000005</v>
      </c>
    </row>
    <row r="31" spans="1:26">
      <c r="A31" t="s">
        <v>773</v>
      </c>
      <c r="B31" t="s">
        <v>774</v>
      </c>
      <c r="C31">
        <v>2.62</v>
      </c>
      <c r="D31">
        <v>2.6419999999999999</v>
      </c>
      <c r="E31">
        <v>2.6629999999999998</v>
      </c>
      <c r="F31">
        <v>2.6840000000000002</v>
      </c>
      <c r="G31">
        <v>2.7050000000000001</v>
      </c>
      <c r="H31">
        <v>2.7250000000000001</v>
      </c>
      <c r="I31">
        <v>2.7450000000000001</v>
      </c>
      <c r="J31">
        <v>2.7650000000000001</v>
      </c>
      <c r="K31">
        <v>2.7850000000000001</v>
      </c>
      <c r="L31">
        <v>2.8039999999999998</v>
      </c>
      <c r="M31">
        <v>2.823</v>
      </c>
      <c r="N31">
        <v>2.8420000000000001</v>
      </c>
      <c r="O31">
        <v>2.8610000000000002</v>
      </c>
      <c r="P31">
        <v>2.879</v>
      </c>
      <c r="Q31">
        <v>2.8980000000000001</v>
      </c>
      <c r="R31">
        <v>2.915</v>
      </c>
      <c r="S31">
        <v>2.9329999999999998</v>
      </c>
      <c r="T31">
        <v>2.95</v>
      </c>
      <c r="U31">
        <v>2.968</v>
      </c>
      <c r="V31">
        <v>2.984</v>
      </c>
      <c r="W31">
        <v>3.0009999999999999</v>
      </c>
      <c r="X31">
        <v>3.0169999999999999</v>
      </c>
      <c r="Y31">
        <v>3.0339999999999998</v>
      </c>
      <c r="Z31">
        <v>3.0489999999999999</v>
      </c>
    </row>
    <row r="32" spans="1:26">
      <c r="A32" t="s">
        <v>775</v>
      </c>
      <c r="B32" t="s">
        <v>776</v>
      </c>
      <c r="C32">
        <v>0.25319999999999998</v>
      </c>
      <c r="D32">
        <v>0.2412</v>
      </c>
      <c r="E32">
        <v>0.22939999999999999</v>
      </c>
      <c r="F32">
        <v>0.21890000000000001</v>
      </c>
      <c r="G32">
        <v>0.20880000000000001</v>
      </c>
      <c r="H32">
        <v>0.1991</v>
      </c>
      <c r="I32">
        <v>0.19</v>
      </c>
      <c r="J32">
        <v>0.18129999999999999</v>
      </c>
      <c r="K32">
        <v>0.1726</v>
      </c>
      <c r="L32">
        <v>0.1648</v>
      </c>
      <c r="M32">
        <v>0.15720000000000001</v>
      </c>
      <c r="N32">
        <v>0.14990000000000001</v>
      </c>
      <c r="O32">
        <v>0.14299999999999999</v>
      </c>
      <c r="P32">
        <v>0.13639999999999999</v>
      </c>
      <c r="Q32">
        <v>0.12989999999999999</v>
      </c>
      <c r="R32">
        <v>0.12379999999999999</v>
      </c>
      <c r="S32">
        <v>0.1179</v>
      </c>
      <c r="T32">
        <v>0.11210000000000001</v>
      </c>
      <c r="U32">
        <v>0.1067</v>
      </c>
      <c r="V32">
        <v>0.10150000000000001</v>
      </c>
      <c r="W32">
        <v>9.6500000000000002E-2</v>
      </c>
      <c r="X32">
        <v>9.1999999999999998E-2</v>
      </c>
      <c r="Y32">
        <v>8.7400000000000005E-2</v>
      </c>
      <c r="Z32">
        <v>8.2900000000000001E-2</v>
      </c>
    </row>
    <row r="33" spans="1:26">
      <c r="A33" t="s">
        <v>777</v>
      </c>
      <c r="B33" t="s">
        <v>778</v>
      </c>
      <c r="C33">
        <v>8.8400000000000006E-2</v>
      </c>
      <c r="D33">
        <v>8.8499999999999995E-2</v>
      </c>
      <c r="E33">
        <v>8.8400000000000006E-2</v>
      </c>
      <c r="F33">
        <v>8.8400000000000006E-2</v>
      </c>
      <c r="G33">
        <v>8.8200000000000001E-2</v>
      </c>
      <c r="H33">
        <v>8.8099999999999998E-2</v>
      </c>
      <c r="I33">
        <v>8.7900000000000006E-2</v>
      </c>
      <c r="J33">
        <v>8.77E-2</v>
      </c>
      <c r="K33">
        <v>8.7499999999999994E-2</v>
      </c>
      <c r="L33">
        <v>8.72E-2</v>
      </c>
      <c r="M33">
        <v>8.6900000000000005E-2</v>
      </c>
      <c r="N33">
        <v>8.6599999999999996E-2</v>
      </c>
      <c r="O33">
        <v>8.6300000000000002E-2</v>
      </c>
      <c r="P33">
        <v>8.5999999999999993E-2</v>
      </c>
      <c r="Q33">
        <v>8.5599999999999996E-2</v>
      </c>
      <c r="R33">
        <v>8.5300000000000001E-2</v>
      </c>
      <c r="S33">
        <v>8.4900000000000003E-2</v>
      </c>
      <c r="T33">
        <v>8.4599999999999995E-2</v>
      </c>
      <c r="U33">
        <v>8.4199999999999997E-2</v>
      </c>
      <c r="V33">
        <v>8.3799999999999999E-2</v>
      </c>
      <c r="W33">
        <v>8.3400000000000002E-2</v>
      </c>
      <c r="X33">
        <v>8.3000000000000004E-2</v>
      </c>
      <c r="Y33">
        <v>8.2600000000000007E-2</v>
      </c>
      <c r="Z33">
        <v>8.2199999999999995E-2</v>
      </c>
    </row>
    <row r="34" spans="1:26">
      <c r="A34" t="s">
        <v>779</v>
      </c>
      <c r="B34" t="s">
        <v>780</v>
      </c>
      <c r="C34">
        <v>1.2E-2</v>
      </c>
      <c r="D34">
        <v>1.18E-2</v>
      </c>
      <c r="E34">
        <v>1.1599999999999999E-2</v>
      </c>
      <c r="F34">
        <v>1.14E-2</v>
      </c>
      <c r="G34">
        <v>1.1299999999999999E-2</v>
      </c>
      <c r="H34">
        <v>1.11E-2</v>
      </c>
      <c r="I34">
        <v>1.09E-2</v>
      </c>
      <c r="J34">
        <v>1.0699999999999999E-2</v>
      </c>
      <c r="K34">
        <v>1.0500000000000001E-2</v>
      </c>
      <c r="L34">
        <v>1.04E-2</v>
      </c>
      <c r="M34">
        <v>1.0200000000000001E-2</v>
      </c>
      <c r="N34">
        <v>0.01</v>
      </c>
      <c r="O34">
        <v>9.9000000000000008E-3</v>
      </c>
      <c r="P34">
        <v>9.7000000000000003E-3</v>
      </c>
      <c r="Q34">
        <v>9.4999999999999998E-3</v>
      </c>
      <c r="R34">
        <v>9.4000000000000004E-3</v>
      </c>
      <c r="S34">
        <v>9.1999999999999998E-3</v>
      </c>
      <c r="T34">
        <v>8.9999999999999993E-3</v>
      </c>
      <c r="U34">
        <v>8.8999999999999999E-3</v>
      </c>
      <c r="V34">
        <v>8.6999999999999994E-3</v>
      </c>
      <c r="W34">
        <v>8.6E-3</v>
      </c>
      <c r="X34">
        <v>8.3999999999999995E-3</v>
      </c>
      <c r="Y34">
        <v>8.3000000000000001E-3</v>
      </c>
      <c r="Z34">
        <v>8.0999999999999996E-3</v>
      </c>
    </row>
    <row r="35" spans="1:26">
      <c r="A35" t="s">
        <v>781</v>
      </c>
      <c r="C35">
        <v>341.85309999999998</v>
      </c>
      <c r="D35">
        <v>346.61160000000001</v>
      </c>
      <c r="E35">
        <v>351.37670000000003</v>
      </c>
      <c r="F35">
        <v>356.14080000000001</v>
      </c>
      <c r="G35">
        <v>360.89729999999997</v>
      </c>
      <c r="H35">
        <v>365.64049999999997</v>
      </c>
      <c r="I35">
        <v>370.36590000000001</v>
      </c>
      <c r="J35">
        <v>375.06939999999997</v>
      </c>
      <c r="K35">
        <v>379.74770000000001</v>
      </c>
      <c r="L35">
        <v>384.39830000000001</v>
      </c>
      <c r="M35">
        <v>389.01909999999998</v>
      </c>
      <c r="N35">
        <v>393.60890000000001</v>
      </c>
      <c r="O35">
        <v>398.16680000000002</v>
      </c>
      <c r="P35">
        <v>402.69319999999999</v>
      </c>
      <c r="Q35">
        <v>407.18849999999998</v>
      </c>
      <c r="R35">
        <v>411.65449999999998</v>
      </c>
      <c r="S35">
        <v>416.09370000000001</v>
      </c>
      <c r="T35">
        <v>420.50970000000001</v>
      </c>
      <c r="U35">
        <v>424.90730000000002</v>
      </c>
      <c r="V35">
        <v>429.29239999999999</v>
      </c>
      <c r="W35">
        <v>433.67230000000001</v>
      </c>
      <c r="X35">
        <v>438.05610000000001</v>
      </c>
      <c r="Y35">
        <v>442.45420000000001</v>
      </c>
      <c r="Z35">
        <v>446.8793</v>
      </c>
    </row>
    <row r="36" spans="1:26" s="6" customFormat="1">
      <c r="A36" s="6" t="s">
        <v>782</v>
      </c>
      <c r="B36" s="6" t="s">
        <v>783</v>
      </c>
      <c r="C36" s="6">
        <v>-1565.1</v>
      </c>
      <c r="D36" s="6">
        <v>-1547.4</v>
      </c>
      <c r="E36" s="6">
        <v>-1529.7</v>
      </c>
      <c r="F36" s="6">
        <v>-1512</v>
      </c>
      <c r="G36" s="6">
        <v>-1494.3</v>
      </c>
      <c r="H36" s="6">
        <v>-1476.6</v>
      </c>
      <c r="I36" s="6">
        <v>-1458.9</v>
      </c>
      <c r="J36" s="6">
        <v>-1441.1</v>
      </c>
      <c r="K36" s="6">
        <v>-1423.4</v>
      </c>
      <c r="L36" s="6">
        <v>-1405.7</v>
      </c>
      <c r="M36" s="6">
        <v>-1388</v>
      </c>
      <c r="N36" s="6">
        <v>-1370.3</v>
      </c>
      <c r="O36" s="6">
        <v>-1352.6</v>
      </c>
      <c r="P36" s="6">
        <v>-1334.9</v>
      </c>
      <c r="Q36" s="6">
        <v>-1317.1</v>
      </c>
      <c r="R36" s="6">
        <v>-1299.4000000000001</v>
      </c>
      <c r="S36" s="6">
        <v>-1281.7</v>
      </c>
      <c r="T36" s="6">
        <v>-1264</v>
      </c>
      <c r="U36" s="6">
        <v>-1246.3</v>
      </c>
      <c r="V36" s="6">
        <v>-1228.5999999999999</v>
      </c>
      <c r="W36" s="6">
        <v>-1210.9000000000001</v>
      </c>
      <c r="X36" s="6">
        <v>-1193.0999999999999</v>
      </c>
      <c r="Y36" s="6">
        <v>-1175.4000000000001</v>
      </c>
      <c r="Z36" s="6">
        <v>-1157.7</v>
      </c>
    </row>
    <row r="37" spans="1:26" s="6" customFormat="1">
      <c r="A37" s="6" t="s">
        <v>784</v>
      </c>
      <c r="C37" s="6">
        <v>0.16322</v>
      </c>
      <c r="D37" s="6">
        <v>0.1747716</v>
      </c>
      <c r="E37" s="6">
        <v>0.1865463</v>
      </c>
      <c r="F37" s="187">
        <v>0.19854869999999999</v>
      </c>
      <c r="G37" s="187">
        <v>0.2107888</v>
      </c>
      <c r="H37" s="6">
        <v>0.22328139999999999</v>
      </c>
      <c r="I37" s="187">
        <v>0.23604549999999999</v>
      </c>
      <c r="J37" s="187">
        <v>0.24910470000000001</v>
      </c>
      <c r="K37" s="6">
        <v>0.26248589999999999</v>
      </c>
      <c r="L37" s="187">
        <v>0.27622049999999998</v>
      </c>
      <c r="M37" s="6">
        <v>0.29034280000000001</v>
      </c>
      <c r="N37" s="6">
        <v>0.30489080000000002</v>
      </c>
      <c r="O37" s="6">
        <v>0.31990590000000002</v>
      </c>
      <c r="P37" s="6">
        <v>0.33543299999999998</v>
      </c>
      <c r="Q37" s="6">
        <v>0.35151900000000003</v>
      </c>
      <c r="R37" s="6">
        <v>0.36821379999999998</v>
      </c>
      <c r="S37" s="6">
        <v>0.38556970000000002</v>
      </c>
      <c r="T37" s="6">
        <v>0.4036399</v>
      </c>
      <c r="U37" s="6">
        <v>0.42247869999999998</v>
      </c>
      <c r="V37" s="187">
        <v>0.44213989999999997</v>
      </c>
      <c r="W37" s="187">
        <v>0.46267599999999998</v>
      </c>
      <c r="X37" s="187">
        <v>0.48413630000000002</v>
      </c>
      <c r="Y37" s="187">
        <v>0.50656570000000001</v>
      </c>
      <c r="Z37" s="187">
        <v>0.53000239999999998</v>
      </c>
    </row>
    <row r="38" spans="1:26">
      <c r="A38" t="s">
        <v>785</v>
      </c>
      <c r="B38" t="s">
        <v>102</v>
      </c>
      <c r="C38">
        <v>13.39</v>
      </c>
      <c r="D38">
        <v>13.56</v>
      </c>
      <c r="E38">
        <v>13.73</v>
      </c>
      <c r="F38">
        <v>13.9</v>
      </c>
      <c r="G38">
        <v>14.07</v>
      </c>
      <c r="H38">
        <v>14.23</v>
      </c>
      <c r="I38">
        <v>14.4</v>
      </c>
      <c r="J38">
        <v>14.57</v>
      </c>
      <c r="K38">
        <v>14.74</v>
      </c>
      <c r="L38">
        <v>14.91</v>
      </c>
      <c r="M38">
        <v>15.09</v>
      </c>
      <c r="N38">
        <v>15.28</v>
      </c>
      <c r="O38">
        <v>15.47</v>
      </c>
      <c r="P38">
        <v>15.67</v>
      </c>
      <c r="Q38">
        <v>15.87</v>
      </c>
      <c r="R38">
        <v>16.09</v>
      </c>
      <c r="S38">
        <v>16.309999999999999</v>
      </c>
      <c r="T38">
        <v>16.54</v>
      </c>
      <c r="U38">
        <v>16.78</v>
      </c>
      <c r="V38">
        <v>17.04</v>
      </c>
      <c r="W38">
        <v>17.3</v>
      </c>
      <c r="X38">
        <v>17.57</v>
      </c>
      <c r="Y38">
        <v>17.850000000000001</v>
      </c>
      <c r="Z38">
        <v>18.14</v>
      </c>
    </row>
    <row r="39" spans="1:26">
      <c r="A39" t="s">
        <v>786</v>
      </c>
      <c r="B39" t="s">
        <v>774</v>
      </c>
      <c r="C39">
        <v>2.5720000000000001</v>
      </c>
      <c r="D39">
        <v>2.5870000000000002</v>
      </c>
      <c r="E39">
        <v>2.6030000000000002</v>
      </c>
      <c r="F39">
        <v>2.6190000000000002</v>
      </c>
      <c r="G39">
        <v>2.6339999999999999</v>
      </c>
      <c r="H39">
        <v>2.65</v>
      </c>
      <c r="I39">
        <v>2.6659999999999999</v>
      </c>
      <c r="J39">
        <v>2.681</v>
      </c>
      <c r="K39">
        <v>2.6970000000000001</v>
      </c>
      <c r="L39">
        <v>2.7120000000000002</v>
      </c>
      <c r="M39">
        <v>2.7269999999999999</v>
      </c>
      <c r="N39">
        <v>2.742</v>
      </c>
      <c r="O39">
        <v>2.7570000000000001</v>
      </c>
      <c r="P39">
        <v>2.7719999999999998</v>
      </c>
      <c r="Q39">
        <v>2.7869999999999999</v>
      </c>
      <c r="R39">
        <v>2.8010000000000002</v>
      </c>
      <c r="S39">
        <v>2.8149999999999999</v>
      </c>
      <c r="T39">
        <v>2.8290000000000002</v>
      </c>
      <c r="U39">
        <v>2.843</v>
      </c>
      <c r="V39">
        <v>2.8559999999999999</v>
      </c>
      <c r="W39">
        <v>2.87</v>
      </c>
      <c r="X39">
        <v>2.883</v>
      </c>
      <c r="Y39">
        <v>2.8959999999999999</v>
      </c>
      <c r="Z39">
        <v>2.9079999999999999</v>
      </c>
    </row>
    <row r="40" spans="1:26">
      <c r="A40" t="s">
        <v>787</v>
      </c>
      <c r="B40" t="s">
        <v>776</v>
      </c>
      <c r="C40">
        <v>1.43E-2</v>
      </c>
      <c r="D40">
        <v>1.44E-2</v>
      </c>
      <c r="E40">
        <v>1.44E-2</v>
      </c>
      <c r="F40">
        <v>1.4500000000000001E-2</v>
      </c>
      <c r="G40">
        <v>1.46E-2</v>
      </c>
      <c r="H40">
        <v>1.46E-2</v>
      </c>
      <c r="I40">
        <v>1.47E-2</v>
      </c>
      <c r="J40">
        <v>1.47E-2</v>
      </c>
      <c r="K40">
        <v>1.4800000000000001E-2</v>
      </c>
      <c r="L40">
        <v>1.49E-2</v>
      </c>
      <c r="M40">
        <v>1.49E-2</v>
      </c>
      <c r="N40">
        <v>1.4999999999999999E-2</v>
      </c>
      <c r="O40">
        <v>1.5100000000000001E-2</v>
      </c>
      <c r="P40">
        <v>1.5100000000000001E-2</v>
      </c>
      <c r="Q40">
        <v>1.52E-2</v>
      </c>
      <c r="R40">
        <v>1.52E-2</v>
      </c>
      <c r="S40">
        <v>1.5299999999999999E-2</v>
      </c>
      <c r="T40">
        <v>1.54E-2</v>
      </c>
      <c r="U40">
        <v>1.54E-2</v>
      </c>
      <c r="V40">
        <v>1.55E-2</v>
      </c>
      <c r="W40">
        <v>1.55E-2</v>
      </c>
      <c r="X40">
        <v>1.55E-2</v>
      </c>
      <c r="Y40">
        <v>1.5599999999999999E-2</v>
      </c>
      <c r="Z40">
        <v>1.5599999999999999E-2</v>
      </c>
    </row>
    <row r="41" spans="1:26">
      <c r="A41" t="s">
        <v>788</v>
      </c>
      <c r="B41" t="s">
        <v>778</v>
      </c>
      <c r="C41">
        <v>4.3499999999999997E-2</v>
      </c>
      <c r="D41">
        <v>4.3799999999999999E-2</v>
      </c>
      <c r="E41">
        <v>4.4200000000000003E-2</v>
      </c>
      <c r="F41">
        <v>4.4499999999999998E-2</v>
      </c>
      <c r="G41">
        <v>4.4900000000000002E-2</v>
      </c>
      <c r="H41">
        <v>4.53E-2</v>
      </c>
      <c r="I41">
        <v>4.5600000000000002E-2</v>
      </c>
      <c r="J41">
        <v>4.5999999999999999E-2</v>
      </c>
      <c r="K41">
        <v>4.6399999999999997E-2</v>
      </c>
      <c r="L41">
        <v>4.6699999999999998E-2</v>
      </c>
      <c r="M41">
        <v>4.7100000000000003E-2</v>
      </c>
      <c r="N41">
        <v>4.7399999999999998E-2</v>
      </c>
      <c r="O41">
        <v>4.7800000000000002E-2</v>
      </c>
      <c r="P41">
        <v>4.8099999999999997E-2</v>
      </c>
      <c r="Q41">
        <v>4.8399999999999999E-2</v>
      </c>
      <c r="R41">
        <v>4.87E-2</v>
      </c>
      <c r="S41">
        <v>4.9000000000000002E-2</v>
      </c>
      <c r="T41">
        <v>4.9299999999999997E-2</v>
      </c>
      <c r="U41">
        <v>4.9599999999999998E-2</v>
      </c>
      <c r="V41">
        <v>4.9799999999999997E-2</v>
      </c>
      <c r="W41">
        <v>5.0099999999999999E-2</v>
      </c>
      <c r="X41">
        <v>5.0299999999999997E-2</v>
      </c>
      <c r="Y41">
        <v>5.0500000000000003E-2</v>
      </c>
      <c r="Z41">
        <v>5.0700000000000002E-2</v>
      </c>
    </row>
    <row r="42" spans="1:26">
      <c r="A42" t="s">
        <v>789</v>
      </c>
      <c r="C42">
        <v>109.6002</v>
      </c>
      <c r="D42">
        <v>112.30929999999999</v>
      </c>
      <c r="E42">
        <v>115.0128</v>
      </c>
      <c r="F42">
        <v>117.7192</v>
      </c>
      <c r="G42">
        <v>120.4366</v>
      </c>
      <c r="H42">
        <v>123.1734</v>
      </c>
      <c r="I42">
        <v>125.9376</v>
      </c>
      <c r="J42">
        <v>128.73689999999999</v>
      </c>
      <c r="K42">
        <v>131.57900000000001</v>
      </c>
      <c r="L42">
        <v>134.4716</v>
      </c>
      <c r="M42">
        <v>137.42179999999999</v>
      </c>
      <c r="N42">
        <v>140.43680000000001</v>
      </c>
      <c r="O42">
        <v>143.52350000000001</v>
      </c>
      <c r="P42">
        <v>146.68860000000001</v>
      </c>
      <c r="Q42">
        <v>149.93819999999999</v>
      </c>
      <c r="R42">
        <v>153.2782</v>
      </c>
      <c r="S42">
        <v>156.71369999999999</v>
      </c>
      <c r="T42">
        <v>160.24930000000001</v>
      </c>
      <c r="U42">
        <v>163.8888</v>
      </c>
      <c r="V42">
        <v>167.63470000000001</v>
      </c>
      <c r="W42">
        <v>171.48859999999999</v>
      </c>
      <c r="X42">
        <v>175.45060000000001</v>
      </c>
      <c r="Y42">
        <v>179.51949999999999</v>
      </c>
      <c r="Z42">
        <v>183.69220000000001</v>
      </c>
    </row>
    <row r="43" spans="1:26" s="6" customFormat="1">
      <c r="A43" s="6" t="s">
        <v>790</v>
      </c>
    </row>
    <row r="44" spans="1:26">
      <c r="A44" t="s">
        <v>772</v>
      </c>
      <c r="B44" t="s">
        <v>102</v>
      </c>
    </row>
    <row r="45" spans="1:26">
      <c r="A45" t="s">
        <v>791</v>
      </c>
      <c r="B45" t="s">
        <v>774</v>
      </c>
    </row>
    <row r="46" spans="1:26">
      <c r="A46" t="s">
        <v>792</v>
      </c>
      <c r="B46" t="s">
        <v>776</v>
      </c>
    </row>
    <row r="47" spans="1:26">
      <c r="A47" t="s">
        <v>793</v>
      </c>
      <c r="B47" t="s">
        <v>778</v>
      </c>
    </row>
    <row r="48" spans="1:26">
      <c r="A48" t="s">
        <v>794</v>
      </c>
      <c r="B48" t="s">
        <v>780</v>
      </c>
    </row>
    <row r="49" spans="1:26">
      <c r="A49" t="s">
        <v>795</v>
      </c>
    </row>
    <row r="51" spans="1:26">
      <c r="A51" s="17" t="s">
        <v>769</v>
      </c>
      <c r="B51" t="s">
        <v>770</v>
      </c>
      <c r="C51" s="102">
        <v>0.73</v>
      </c>
    </row>
    <row r="53" spans="1:26" s="6" customFormat="1">
      <c r="A53" s="6" t="s">
        <v>771</v>
      </c>
      <c r="B53" s="6" t="s">
        <v>98</v>
      </c>
      <c r="C53" s="6">
        <v>231.7</v>
      </c>
      <c r="D53" s="6">
        <v>237.74</v>
      </c>
      <c r="E53" s="6">
        <v>243.72</v>
      </c>
      <c r="F53" s="6">
        <v>249.65</v>
      </c>
      <c r="G53" s="6">
        <v>255.53</v>
      </c>
      <c r="H53" s="6">
        <v>261.37</v>
      </c>
      <c r="I53" s="6">
        <v>267.16000000000003</v>
      </c>
      <c r="J53" s="6">
        <v>272.89999999999998</v>
      </c>
      <c r="K53" s="6">
        <v>278.60000000000002</v>
      </c>
      <c r="L53" s="6">
        <v>284.25</v>
      </c>
      <c r="M53" s="6">
        <v>289.87</v>
      </c>
      <c r="N53" s="6">
        <v>295.44</v>
      </c>
      <c r="O53" s="6">
        <v>300.95999999999998</v>
      </c>
      <c r="P53" s="6">
        <v>306.45</v>
      </c>
      <c r="Q53" s="6">
        <v>311.89</v>
      </c>
      <c r="R53" s="6">
        <v>317.29000000000002</v>
      </c>
      <c r="S53" s="6">
        <v>322.64</v>
      </c>
      <c r="T53" s="6">
        <v>327.95</v>
      </c>
      <c r="U53" s="6">
        <v>333.22</v>
      </c>
      <c r="V53" s="6">
        <v>338.44</v>
      </c>
      <c r="W53" s="6">
        <v>343.62</v>
      </c>
      <c r="X53" s="6">
        <v>348.74</v>
      </c>
      <c r="Y53" s="6">
        <v>353.83</v>
      </c>
      <c r="Z53" s="6">
        <v>358.86</v>
      </c>
    </row>
    <row r="54" spans="1:26">
      <c r="A54" t="s">
        <v>772</v>
      </c>
      <c r="B54" t="s">
        <v>102</v>
      </c>
      <c r="C54">
        <v>671.37</v>
      </c>
      <c r="D54">
        <v>668.09</v>
      </c>
      <c r="E54">
        <v>664.85</v>
      </c>
      <c r="F54">
        <v>661.65</v>
      </c>
      <c r="G54">
        <v>658.48</v>
      </c>
      <c r="H54">
        <v>655.34</v>
      </c>
      <c r="I54">
        <v>652.21</v>
      </c>
      <c r="J54">
        <v>649.1</v>
      </c>
      <c r="K54">
        <v>646</v>
      </c>
      <c r="L54">
        <v>642.91</v>
      </c>
      <c r="M54">
        <v>639.83000000000004</v>
      </c>
      <c r="N54">
        <v>636.74</v>
      </c>
      <c r="O54">
        <v>633.66999999999996</v>
      </c>
      <c r="P54">
        <v>630.59</v>
      </c>
      <c r="Q54">
        <v>627.52</v>
      </c>
      <c r="R54">
        <v>624.45000000000005</v>
      </c>
      <c r="S54">
        <v>621.38</v>
      </c>
      <c r="T54">
        <v>618.30999999999995</v>
      </c>
      <c r="U54">
        <v>615.25</v>
      </c>
      <c r="V54">
        <v>612.20000000000005</v>
      </c>
      <c r="W54">
        <v>609.15</v>
      </c>
      <c r="X54">
        <v>606.11</v>
      </c>
      <c r="Y54">
        <v>603.09</v>
      </c>
      <c r="Z54">
        <v>600.08000000000004</v>
      </c>
    </row>
    <row r="55" spans="1:26">
      <c r="A55" t="s">
        <v>773</v>
      </c>
      <c r="B55" t="s">
        <v>774</v>
      </c>
      <c r="C55">
        <v>2.6440000000000001</v>
      </c>
      <c r="D55">
        <v>2.6659999999999999</v>
      </c>
      <c r="E55">
        <v>2.6869999999999998</v>
      </c>
      <c r="F55">
        <v>2.7090000000000001</v>
      </c>
      <c r="G55">
        <v>2.7290000000000001</v>
      </c>
      <c r="H55">
        <v>2.75</v>
      </c>
      <c r="I55">
        <v>2.77</v>
      </c>
      <c r="J55">
        <v>2.79</v>
      </c>
      <c r="K55">
        <v>2.81</v>
      </c>
      <c r="L55">
        <v>2.8290000000000002</v>
      </c>
      <c r="M55">
        <v>2.8479999999999999</v>
      </c>
      <c r="N55">
        <v>2.867</v>
      </c>
      <c r="O55">
        <v>2.8860000000000001</v>
      </c>
      <c r="P55">
        <v>2.9039999999999999</v>
      </c>
      <c r="Q55">
        <v>2.923</v>
      </c>
      <c r="R55">
        <v>2.9409999999999998</v>
      </c>
      <c r="S55">
        <v>2.9590000000000001</v>
      </c>
      <c r="T55">
        <v>2.976</v>
      </c>
      <c r="U55">
        <v>2.9940000000000002</v>
      </c>
      <c r="V55">
        <v>3.0110000000000001</v>
      </c>
      <c r="W55">
        <v>3.028</v>
      </c>
      <c r="X55">
        <v>3.044</v>
      </c>
      <c r="Y55">
        <v>3.0609999999999999</v>
      </c>
      <c r="Z55">
        <v>3.077</v>
      </c>
    </row>
    <row r="56" spans="1:26">
      <c r="A56" t="s">
        <v>775</v>
      </c>
      <c r="B56" t="s">
        <v>776</v>
      </c>
      <c r="C56">
        <v>0.22950000000000001</v>
      </c>
      <c r="D56">
        <v>0.2185</v>
      </c>
      <c r="E56">
        <v>0.20830000000000001</v>
      </c>
      <c r="F56">
        <v>0.19900000000000001</v>
      </c>
      <c r="G56">
        <v>0.18990000000000001</v>
      </c>
      <c r="H56">
        <v>0.18160000000000001</v>
      </c>
      <c r="I56">
        <v>0.17369999999999999</v>
      </c>
      <c r="J56">
        <v>0.16589999999999999</v>
      </c>
      <c r="K56">
        <v>0.1583</v>
      </c>
      <c r="L56">
        <v>0.15140000000000001</v>
      </c>
      <c r="M56">
        <v>0.14460000000000001</v>
      </c>
      <c r="N56">
        <v>0.13830000000000001</v>
      </c>
      <c r="O56">
        <v>0.13220000000000001</v>
      </c>
      <c r="P56">
        <v>0.12609999999999999</v>
      </c>
      <c r="Q56">
        <v>0.1205</v>
      </c>
      <c r="R56">
        <v>0.115</v>
      </c>
      <c r="S56">
        <v>0.1096</v>
      </c>
      <c r="T56">
        <v>0.1045</v>
      </c>
      <c r="U56">
        <v>9.9599999999999994E-2</v>
      </c>
      <c r="V56">
        <v>9.4700000000000006E-2</v>
      </c>
      <c r="W56">
        <v>9.0399999999999994E-2</v>
      </c>
      <c r="X56">
        <v>8.5999999999999993E-2</v>
      </c>
      <c r="Y56">
        <v>8.1699999999999995E-2</v>
      </c>
      <c r="Z56">
        <v>7.7299999999999994E-2</v>
      </c>
    </row>
    <row r="57" spans="1:26">
      <c r="A57" t="s">
        <v>777</v>
      </c>
      <c r="B57" t="s">
        <v>778</v>
      </c>
      <c r="C57">
        <v>8.2199999999999995E-2</v>
      </c>
      <c r="D57">
        <v>8.2500000000000004E-2</v>
      </c>
      <c r="E57">
        <v>8.2699999999999996E-2</v>
      </c>
      <c r="F57">
        <v>8.2900000000000001E-2</v>
      </c>
      <c r="G57">
        <v>8.3000000000000004E-2</v>
      </c>
      <c r="H57">
        <v>8.3099999999999993E-2</v>
      </c>
      <c r="I57">
        <v>8.3099999999999993E-2</v>
      </c>
      <c r="J57">
        <v>8.3099999999999993E-2</v>
      </c>
      <c r="K57">
        <v>8.3000000000000004E-2</v>
      </c>
      <c r="L57">
        <v>8.2900000000000001E-2</v>
      </c>
      <c r="M57">
        <v>8.2799999999999999E-2</v>
      </c>
      <c r="N57">
        <v>8.2600000000000007E-2</v>
      </c>
      <c r="O57">
        <v>8.2500000000000004E-2</v>
      </c>
      <c r="P57">
        <v>8.2299999999999998E-2</v>
      </c>
      <c r="Q57">
        <v>8.2000000000000003E-2</v>
      </c>
      <c r="R57">
        <v>8.1799999999999998E-2</v>
      </c>
      <c r="S57">
        <v>8.1500000000000003E-2</v>
      </c>
      <c r="T57">
        <v>8.1299999999999997E-2</v>
      </c>
      <c r="U57">
        <v>8.1000000000000003E-2</v>
      </c>
      <c r="V57">
        <v>8.0699999999999994E-2</v>
      </c>
      <c r="W57">
        <v>8.0399999999999999E-2</v>
      </c>
      <c r="X57">
        <v>0.08</v>
      </c>
      <c r="Y57">
        <v>7.9699999999999993E-2</v>
      </c>
      <c r="Z57">
        <v>7.9399999999999998E-2</v>
      </c>
    </row>
    <row r="58" spans="1:26">
      <c r="A58" t="s">
        <v>779</v>
      </c>
      <c r="B58" t="s">
        <v>780</v>
      </c>
      <c r="C58">
        <v>1.09E-2</v>
      </c>
      <c r="D58">
        <v>1.0699999999999999E-2</v>
      </c>
      <c r="E58">
        <v>1.0500000000000001E-2</v>
      </c>
      <c r="F58">
        <v>1.03E-2</v>
      </c>
      <c r="G58">
        <v>1.01E-2</v>
      </c>
      <c r="H58">
        <v>0.01</v>
      </c>
      <c r="I58">
        <v>9.7999999999999997E-3</v>
      </c>
      <c r="J58">
        <v>9.5999999999999992E-3</v>
      </c>
      <c r="K58">
        <v>9.4999999999999998E-3</v>
      </c>
      <c r="L58">
        <v>9.2999999999999992E-3</v>
      </c>
      <c r="M58">
        <v>9.1000000000000004E-3</v>
      </c>
      <c r="N58">
        <v>8.9999999999999993E-3</v>
      </c>
      <c r="O58">
        <v>8.8000000000000005E-3</v>
      </c>
      <c r="P58">
        <v>8.6999999999999994E-3</v>
      </c>
      <c r="Q58">
        <v>8.5000000000000006E-3</v>
      </c>
      <c r="R58">
        <v>8.3999999999999995E-3</v>
      </c>
      <c r="S58">
        <v>8.2000000000000007E-3</v>
      </c>
      <c r="T58">
        <v>8.0000000000000002E-3</v>
      </c>
      <c r="U58">
        <v>7.9000000000000008E-3</v>
      </c>
      <c r="V58">
        <v>7.7999999999999996E-3</v>
      </c>
      <c r="W58">
        <v>7.6E-3</v>
      </c>
      <c r="X58">
        <v>7.4999999999999997E-3</v>
      </c>
      <c r="Y58">
        <v>7.3000000000000001E-3</v>
      </c>
      <c r="Z58">
        <v>7.1999999999999998E-3</v>
      </c>
    </row>
    <row r="59" spans="1:26">
      <c r="A59" t="s">
        <v>781</v>
      </c>
      <c r="C59">
        <v>318.73329999999999</v>
      </c>
      <c r="D59">
        <v>323.00360000000001</v>
      </c>
      <c r="E59">
        <v>327.31389999999999</v>
      </c>
      <c r="F59">
        <v>331.65530000000001</v>
      </c>
      <c r="G59">
        <v>336.01920000000001</v>
      </c>
      <c r="H59">
        <v>340.39830000000001</v>
      </c>
      <c r="I59">
        <v>344.78559999999999</v>
      </c>
      <c r="J59">
        <v>349.17529999999999</v>
      </c>
      <c r="K59">
        <v>353.56229999999999</v>
      </c>
      <c r="L59">
        <v>357.94209999999998</v>
      </c>
      <c r="M59">
        <v>362.3109</v>
      </c>
      <c r="N59">
        <v>366.66559999999998</v>
      </c>
      <c r="O59">
        <v>371.00360000000001</v>
      </c>
      <c r="P59">
        <v>375.32319999999999</v>
      </c>
      <c r="Q59">
        <v>379.62259999999998</v>
      </c>
      <c r="R59">
        <v>383.90129999999999</v>
      </c>
      <c r="S59">
        <v>388.15890000000002</v>
      </c>
      <c r="T59">
        <v>392.39589999999998</v>
      </c>
      <c r="U59">
        <v>396.61329999999998</v>
      </c>
      <c r="V59">
        <v>400.81299999999999</v>
      </c>
      <c r="W59">
        <v>404.9975</v>
      </c>
      <c r="X59">
        <v>409.17009999999999</v>
      </c>
      <c r="Y59">
        <v>413.33519999999999</v>
      </c>
      <c r="Z59">
        <v>417.49799999999999</v>
      </c>
    </row>
    <row r="60" spans="1:26" s="6" customFormat="1">
      <c r="A60" s="6" t="s">
        <v>782</v>
      </c>
      <c r="B60" s="6" t="s">
        <v>783</v>
      </c>
      <c r="C60" s="6">
        <v>-1565.1</v>
      </c>
      <c r="D60" s="6">
        <v>-1547.4</v>
      </c>
      <c r="E60" s="6">
        <v>-1529.7</v>
      </c>
      <c r="F60" s="6">
        <v>-1512</v>
      </c>
      <c r="G60" s="6">
        <v>-1494.3</v>
      </c>
      <c r="H60" s="6">
        <v>-1476.6</v>
      </c>
      <c r="I60" s="6">
        <v>-1458.9</v>
      </c>
      <c r="J60" s="6">
        <v>-1441.1</v>
      </c>
      <c r="K60" s="6">
        <v>-1423.4</v>
      </c>
      <c r="L60" s="6">
        <v>-1405.7</v>
      </c>
      <c r="M60" s="6">
        <v>-1388</v>
      </c>
      <c r="N60" s="6">
        <v>-1370.3</v>
      </c>
      <c r="O60" s="6">
        <v>-1352.6</v>
      </c>
      <c r="P60" s="6">
        <v>-1334.9</v>
      </c>
      <c r="Q60" s="6">
        <v>-1317.1</v>
      </c>
      <c r="R60" s="6">
        <v>-1299.4000000000001</v>
      </c>
      <c r="S60" s="6">
        <v>-1281.7</v>
      </c>
      <c r="T60" s="6">
        <v>-1264</v>
      </c>
      <c r="U60" s="6">
        <v>-1246.3</v>
      </c>
      <c r="V60" s="6">
        <v>-1228.5999999999999</v>
      </c>
      <c r="W60" s="6">
        <v>-1210.9000000000001</v>
      </c>
      <c r="X60" s="6">
        <v>-1193.0999999999999</v>
      </c>
      <c r="Y60" s="6">
        <v>-1175.4000000000001</v>
      </c>
      <c r="Z60" s="6">
        <v>-1157.7</v>
      </c>
    </row>
    <row r="61" spans="1:26" s="6" customFormat="1">
      <c r="A61" s="6" t="s">
        <v>784</v>
      </c>
      <c r="C61" s="6">
        <v>0.1187568</v>
      </c>
      <c r="D61" s="187">
        <v>0.1290811</v>
      </c>
      <c r="E61" s="187">
        <v>0.13969100000000001</v>
      </c>
      <c r="F61" s="6">
        <v>0.15057470000000001</v>
      </c>
      <c r="G61" s="187">
        <v>0.1617258</v>
      </c>
      <c r="H61" s="187">
        <v>0.1731424</v>
      </c>
      <c r="I61" s="187">
        <v>0.18482789999999999</v>
      </c>
      <c r="J61" s="6">
        <v>0.1967903</v>
      </c>
      <c r="K61" s="6">
        <v>0.2090418</v>
      </c>
      <c r="L61" s="187">
        <v>0.2215992</v>
      </c>
      <c r="M61" s="187">
        <v>0.23448269999999999</v>
      </c>
      <c r="N61" s="187">
        <v>0.24771670000000001</v>
      </c>
      <c r="O61" s="187">
        <v>0.26132870000000002</v>
      </c>
      <c r="P61" s="187">
        <v>0.2753504</v>
      </c>
      <c r="Q61" s="6">
        <v>0.2898153</v>
      </c>
      <c r="R61" s="6">
        <v>0.30476120000000001</v>
      </c>
      <c r="S61" s="6">
        <v>0.32022800000000001</v>
      </c>
      <c r="T61" s="6">
        <v>0.33625870000000002</v>
      </c>
      <c r="U61" s="6">
        <v>0.3528983</v>
      </c>
      <c r="V61" s="6">
        <v>0.37019410000000003</v>
      </c>
      <c r="W61" s="6">
        <v>0.3881946</v>
      </c>
      <c r="X61" s="6">
        <v>0.40694950000000002</v>
      </c>
      <c r="Y61" s="6">
        <v>0.42650890000000002</v>
      </c>
      <c r="Z61" s="6">
        <v>0.44692219999999999</v>
      </c>
    </row>
    <row r="62" spans="1:26">
      <c r="A62" t="s">
        <v>785</v>
      </c>
      <c r="B62" t="s">
        <v>102</v>
      </c>
      <c r="C62">
        <v>19.09</v>
      </c>
      <c r="D62">
        <v>19.38</v>
      </c>
      <c r="E62">
        <v>19.670000000000002</v>
      </c>
      <c r="F62">
        <v>19.95</v>
      </c>
      <c r="G62">
        <v>20.22</v>
      </c>
      <c r="H62">
        <v>20.49</v>
      </c>
      <c r="I62">
        <v>20.76</v>
      </c>
      <c r="J62">
        <v>21.02</v>
      </c>
      <c r="K62">
        <v>21.29</v>
      </c>
      <c r="L62">
        <v>21.56</v>
      </c>
      <c r="M62">
        <v>21.83</v>
      </c>
      <c r="N62">
        <v>22.11</v>
      </c>
      <c r="O62">
        <v>22.39</v>
      </c>
      <c r="P62">
        <v>22.68</v>
      </c>
      <c r="Q62">
        <v>22.97</v>
      </c>
      <c r="R62">
        <v>23.28</v>
      </c>
      <c r="S62">
        <v>23.59</v>
      </c>
      <c r="T62">
        <v>23.92</v>
      </c>
      <c r="U62">
        <v>24.26</v>
      </c>
      <c r="V62">
        <v>24.61</v>
      </c>
      <c r="W62">
        <v>24.97</v>
      </c>
      <c r="X62">
        <v>25.35</v>
      </c>
      <c r="Y62">
        <v>25.74</v>
      </c>
      <c r="Z62">
        <v>26.14</v>
      </c>
    </row>
    <row r="63" spans="1:26">
      <c r="A63" t="s">
        <v>786</v>
      </c>
      <c r="B63" t="s">
        <v>774</v>
      </c>
      <c r="C63">
        <v>2.6259999999999999</v>
      </c>
      <c r="D63">
        <v>2.64</v>
      </c>
      <c r="E63">
        <v>2.6539999999999999</v>
      </c>
      <c r="F63">
        <v>2.6680000000000001</v>
      </c>
      <c r="G63">
        <v>2.6819999999999999</v>
      </c>
      <c r="H63">
        <v>2.6970000000000001</v>
      </c>
      <c r="I63">
        <v>2.7109999999999999</v>
      </c>
      <c r="J63">
        <v>2.7250000000000001</v>
      </c>
      <c r="K63">
        <v>2.74</v>
      </c>
      <c r="L63">
        <v>2.754</v>
      </c>
      <c r="M63">
        <v>2.7679999999999998</v>
      </c>
      <c r="N63">
        <v>2.7829999999999999</v>
      </c>
      <c r="O63">
        <v>2.7970000000000002</v>
      </c>
      <c r="P63">
        <v>2.8109999999999999</v>
      </c>
      <c r="Q63">
        <v>2.8250000000000002</v>
      </c>
      <c r="R63">
        <v>2.839</v>
      </c>
      <c r="S63">
        <v>2.8519999999999999</v>
      </c>
      <c r="T63">
        <v>2.8660000000000001</v>
      </c>
      <c r="U63">
        <v>2.879</v>
      </c>
      <c r="V63">
        <v>2.8919999999999999</v>
      </c>
      <c r="W63">
        <v>2.9049999999999998</v>
      </c>
      <c r="X63">
        <v>2.9180000000000001</v>
      </c>
      <c r="Y63">
        <v>2.931</v>
      </c>
      <c r="Z63">
        <v>2.944</v>
      </c>
    </row>
    <row r="64" spans="1:26">
      <c r="A64" t="s">
        <v>787</v>
      </c>
      <c r="B64" t="s">
        <v>776</v>
      </c>
      <c r="C64">
        <v>1.5100000000000001E-2</v>
      </c>
      <c r="D64">
        <v>1.52E-2</v>
      </c>
      <c r="E64">
        <v>1.52E-2</v>
      </c>
      <c r="F64">
        <v>1.5299999999999999E-2</v>
      </c>
      <c r="G64">
        <v>1.5299999999999999E-2</v>
      </c>
      <c r="H64">
        <v>1.54E-2</v>
      </c>
      <c r="I64">
        <v>1.54E-2</v>
      </c>
      <c r="J64">
        <v>1.55E-2</v>
      </c>
      <c r="K64">
        <v>1.55E-2</v>
      </c>
      <c r="L64">
        <v>1.5599999999999999E-2</v>
      </c>
      <c r="M64">
        <v>1.5699999999999999E-2</v>
      </c>
      <c r="N64">
        <v>1.5699999999999999E-2</v>
      </c>
      <c r="O64">
        <v>1.5800000000000002E-2</v>
      </c>
      <c r="P64">
        <v>1.5800000000000002E-2</v>
      </c>
      <c r="Q64">
        <v>1.5900000000000001E-2</v>
      </c>
      <c r="R64">
        <v>1.6E-2</v>
      </c>
      <c r="S64">
        <v>1.6E-2</v>
      </c>
      <c r="T64">
        <v>1.61E-2</v>
      </c>
      <c r="U64">
        <v>1.6199999999999999E-2</v>
      </c>
      <c r="V64">
        <v>1.6199999999999999E-2</v>
      </c>
      <c r="W64">
        <v>1.6299999999999999E-2</v>
      </c>
      <c r="X64">
        <v>1.6299999999999999E-2</v>
      </c>
      <c r="Y64">
        <v>1.6400000000000001E-2</v>
      </c>
      <c r="Z64">
        <v>1.6400000000000001E-2</v>
      </c>
    </row>
    <row r="65" spans="1:26">
      <c r="A65" t="s">
        <v>788</v>
      </c>
      <c r="B65" t="s">
        <v>778</v>
      </c>
      <c r="C65">
        <v>4.6199999999999998E-2</v>
      </c>
      <c r="D65">
        <v>4.6399999999999997E-2</v>
      </c>
      <c r="E65">
        <v>4.6699999999999998E-2</v>
      </c>
      <c r="F65">
        <v>4.7E-2</v>
      </c>
      <c r="G65">
        <v>4.7300000000000002E-2</v>
      </c>
      <c r="H65">
        <v>4.7600000000000003E-2</v>
      </c>
      <c r="I65">
        <v>4.8000000000000001E-2</v>
      </c>
      <c r="J65">
        <v>4.8300000000000003E-2</v>
      </c>
      <c r="K65">
        <v>4.8599999999999997E-2</v>
      </c>
      <c r="L65">
        <v>4.8899999999999999E-2</v>
      </c>
      <c r="M65">
        <v>4.9299999999999997E-2</v>
      </c>
      <c r="N65">
        <v>4.9599999999999998E-2</v>
      </c>
      <c r="O65">
        <v>4.99E-2</v>
      </c>
      <c r="P65">
        <v>5.0200000000000002E-2</v>
      </c>
      <c r="Q65">
        <v>5.0500000000000003E-2</v>
      </c>
      <c r="R65">
        <v>5.0799999999999998E-2</v>
      </c>
      <c r="S65">
        <v>5.11E-2</v>
      </c>
      <c r="T65">
        <v>5.1400000000000001E-2</v>
      </c>
      <c r="U65">
        <v>5.1700000000000003E-2</v>
      </c>
      <c r="V65">
        <v>5.1999999999999998E-2</v>
      </c>
      <c r="W65">
        <v>5.2200000000000003E-2</v>
      </c>
      <c r="X65">
        <v>5.2400000000000002E-2</v>
      </c>
      <c r="Y65">
        <v>5.2699999999999997E-2</v>
      </c>
      <c r="Z65">
        <v>5.2900000000000003E-2</v>
      </c>
    </row>
    <row r="66" spans="1:26">
      <c r="A66" t="s">
        <v>789</v>
      </c>
      <c r="C66">
        <v>101.3129</v>
      </c>
      <c r="D66">
        <v>104.0394</v>
      </c>
      <c r="E66">
        <v>106.747</v>
      </c>
      <c r="F66">
        <v>109.4421</v>
      </c>
      <c r="G66">
        <v>112.1315</v>
      </c>
      <c r="H66">
        <v>114.82210000000001</v>
      </c>
      <c r="I66">
        <v>117.5211</v>
      </c>
      <c r="J66">
        <v>120.2358</v>
      </c>
      <c r="K66">
        <v>122.97329999999999</v>
      </c>
      <c r="L66">
        <v>125.7406</v>
      </c>
      <c r="M66">
        <v>128.54470000000001</v>
      </c>
      <c r="N66">
        <v>131.39240000000001</v>
      </c>
      <c r="O66">
        <v>134.2902</v>
      </c>
      <c r="P66">
        <v>137.24469999999999</v>
      </c>
      <c r="Q66">
        <v>140.262</v>
      </c>
      <c r="R66">
        <v>143.34790000000001</v>
      </c>
      <c r="S66">
        <v>146.50810000000001</v>
      </c>
      <c r="T66">
        <v>149.74789999999999</v>
      </c>
      <c r="U66">
        <v>153.072</v>
      </c>
      <c r="V66">
        <v>156.48480000000001</v>
      </c>
      <c r="W66">
        <v>159.99</v>
      </c>
      <c r="X66">
        <v>163.59059999999999</v>
      </c>
      <c r="Y66">
        <v>167.28890000000001</v>
      </c>
      <c r="Z66">
        <v>171.08609999999999</v>
      </c>
    </row>
    <row r="67" spans="1:26" s="6" customFormat="1">
      <c r="A67" s="6" t="s">
        <v>790</v>
      </c>
    </row>
    <row r="68" spans="1:26">
      <c r="A68" t="s">
        <v>772</v>
      </c>
      <c r="B68" t="s">
        <v>102</v>
      </c>
    </row>
    <row r="69" spans="1:26">
      <c r="A69" t="s">
        <v>791</v>
      </c>
      <c r="B69" t="s">
        <v>774</v>
      </c>
    </row>
    <row r="70" spans="1:26">
      <c r="A70" t="s">
        <v>792</v>
      </c>
      <c r="B70" t="s">
        <v>776</v>
      </c>
    </row>
    <row r="71" spans="1:26">
      <c r="A71" t="s">
        <v>793</v>
      </c>
      <c r="B71" t="s">
        <v>778</v>
      </c>
    </row>
    <row r="72" spans="1:26">
      <c r="A72" t="s">
        <v>794</v>
      </c>
      <c r="B72" t="s">
        <v>780</v>
      </c>
    </row>
    <row r="73" spans="1:26">
      <c r="A73" t="s">
        <v>795</v>
      </c>
    </row>
    <row r="78" spans="1:26">
      <c r="A78" t="s">
        <v>918</v>
      </c>
      <c r="B78" t="s">
        <v>770</v>
      </c>
      <c r="C78">
        <v>0.7</v>
      </c>
    </row>
    <row r="79" spans="1:26">
      <c r="A79" t="s">
        <v>919</v>
      </c>
      <c r="B79" t="s">
        <v>125</v>
      </c>
      <c r="C79">
        <v>229.9</v>
      </c>
    </row>
    <row r="80" spans="1:26">
      <c r="A80" t="s">
        <v>921</v>
      </c>
      <c r="B80" t="s">
        <v>207</v>
      </c>
      <c r="C80">
        <f>f_b_000_Interpolate2D(C78,C79,C85:E85,C86:Z88,C89:Z91)</f>
        <v>672.83303999999998</v>
      </c>
    </row>
    <row r="83" spans="1:26">
      <c r="A83" s="6" t="s">
        <v>920</v>
      </c>
    </row>
    <row r="85" spans="1:26">
      <c r="A85" s="6" t="s">
        <v>918</v>
      </c>
      <c r="B85" t="s">
        <v>770</v>
      </c>
      <c r="C85" s="188">
        <f>C3</f>
        <v>0.23</v>
      </c>
      <c r="D85" s="188">
        <f>C27</f>
        <v>0.48</v>
      </c>
      <c r="E85" s="188">
        <f>C51</f>
        <v>0.73</v>
      </c>
      <c r="F85" s="188"/>
      <c r="G85" s="188"/>
      <c r="H85" s="188"/>
      <c r="I85" s="188"/>
      <c r="J85" s="188"/>
      <c r="K85" s="188"/>
      <c r="L85" s="188"/>
      <c r="M85" s="188"/>
      <c r="N85" s="188"/>
      <c r="O85" s="188"/>
      <c r="P85" s="188"/>
      <c r="Q85" s="188"/>
      <c r="R85" s="188"/>
      <c r="S85" s="188"/>
      <c r="T85" s="188"/>
      <c r="U85" s="188"/>
      <c r="V85" s="188"/>
      <c r="W85" s="188"/>
      <c r="X85" s="188"/>
      <c r="Y85" s="188"/>
      <c r="Z85" s="188"/>
    </row>
    <row r="86" spans="1:26">
      <c r="A86" s="43" t="s">
        <v>771</v>
      </c>
      <c r="B86" s="6" t="s">
        <v>98</v>
      </c>
      <c r="C86" s="188">
        <f>C5</f>
        <v>223.53</v>
      </c>
      <c r="D86" s="188">
        <f t="shared" ref="D86:Z86" si="0">D5</f>
        <v>229.52</v>
      </c>
      <c r="E86" s="188">
        <f t="shared" si="0"/>
        <v>235.45</v>
      </c>
      <c r="F86" s="188">
        <f t="shared" si="0"/>
        <v>241.34</v>
      </c>
      <c r="G86" s="188">
        <f t="shared" si="0"/>
        <v>247.17</v>
      </c>
      <c r="H86" s="188">
        <f t="shared" si="0"/>
        <v>252.96</v>
      </c>
      <c r="I86" s="188">
        <f t="shared" si="0"/>
        <v>258.69</v>
      </c>
      <c r="J86" s="188">
        <f t="shared" si="0"/>
        <v>264.36</v>
      </c>
      <c r="K86" s="188">
        <f t="shared" si="0"/>
        <v>269.99</v>
      </c>
      <c r="L86" s="188">
        <f t="shared" si="0"/>
        <v>275.55</v>
      </c>
      <c r="M86" s="188">
        <f t="shared" si="0"/>
        <v>281.06</v>
      </c>
      <c r="N86" s="188">
        <f t="shared" si="0"/>
        <v>286.51</v>
      </c>
      <c r="O86" s="188">
        <f t="shared" si="0"/>
        <v>291.89999999999998</v>
      </c>
      <c r="P86" s="188">
        <f t="shared" si="0"/>
        <v>297.23</v>
      </c>
      <c r="Q86" s="188">
        <f t="shared" si="0"/>
        <v>302.5</v>
      </c>
      <c r="R86" s="188">
        <f t="shared" si="0"/>
        <v>307.7</v>
      </c>
      <c r="S86" s="188">
        <f t="shared" si="0"/>
        <v>312.83</v>
      </c>
      <c r="T86" s="188">
        <f t="shared" si="0"/>
        <v>317.89999999999998</v>
      </c>
      <c r="U86" s="188">
        <f t="shared" si="0"/>
        <v>322.89999999999998</v>
      </c>
      <c r="V86" s="188">
        <f t="shared" si="0"/>
        <v>327.84</v>
      </c>
      <c r="W86" s="188">
        <f t="shared" si="0"/>
        <v>332.72</v>
      </c>
      <c r="X86" s="188">
        <f t="shared" si="0"/>
        <v>337.53</v>
      </c>
      <c r="Y86" s="188">
        <f t="shared" si="0"/>
        <v>342.29</v>
      </c>
      <c r="Z86" s="188">
        <f t="shared" si="0"/>
        <v>347</v>
      </c>
    </row>
    <row r="87" spans="1:26">
      <c r="A87" s="43"/>
      <c r="B87" s="6"/>
      <c r="C87" s="188">
        <f>C29</f>
        <v>228.7</v>
      </c>
      <c r="D87" s="188">
        <f t="shared" ref="D87:Z87" si="1">D29</f>
        <v>234.7</v>
      </c>
      <c r="E87" s="188">
        <f t="shared" si="1"/>
        <v>240.66</v>
      </c>
      <c r="F87" s="188">
        <f t="shared" si="1"/>
        <v>246.56</v>
      </c>
      <c r="G87" s="188">
        <f t="shared" si="1"/>
        <v>252.42</v>
      </c>
      <c r="H87" s="188">
        <f t="shared" si="1"/>
        <v>258.24</v>
      </c>
      <c r="I87" s="188">
        <f t="shared" si="1"/>
        <v>264</v>
      </c>
      <c r="J87" s="188">
        <f t="shared" si="1"/>
        <v>269.73</v>
      </c>
      <c r="K87" s="188">
        <f t="shared" si="1"/>
        <v>275.41000000000003</v>
      </c>
      <c r="L87" s="188">
        <f t="shared" si="1"/>
        <v>281.04000000000002</v>
      </c>
      <c r="M87" s="188">
        <f t="shared" si="1"/>
        <v>286.62</v>
      </c>
      <c r="N87" s="188">
        <f t="shared" si="1"/>
        <v>292.16000000000003</v>
      </c>
      <c r="O87" s="188">
        <f t="shared" si="1"/>
        <v>297.66000000000003</v>
      </c>
      <c r="P87" s="188">
        <f t="shared" si="1"/>
        <v>303.10000000000002</v>
      </c>
      <c r="Q87" s="188">
        <f t="shared" si="1"/>
        <v>308.5</v>
      </c>
      <c r="R87" s="188">
        <f t="shared" si="1"/>
        <v>313.85000000000002</v>
      </c>
      <c r="S87" s="188">
        <f t="shared" si="1"/>
        <v>319.14</v>
      </c>
      <c r="T87" s="188">
        <f t="shared" si="1"/>
        <v>324.39</v>
      </c>
      <c r="U87" s="188">
        <f t="shared" si="1"/>
        <v>329.59</v>
      </c>
      <c r="V87" s="188">
        <f t="shared" si="1"/>
        <v>334.73</v>
      </c>
      <c r="W87" s="188">
        <f t="shared" si="1"/>
        <v>339.82</v>
      </c>
      <c r="X87" s="188">
        <f t="shared" si="1"/>
        <v>344.85</v>
      </c>
      <c r="Y87" s="188">
        <f t="shared" si="1"/>
        <v>349.84</v>
      </c>
      <c r="Z87" s="188">
        <f t="shared" si="1"/>
        <v>354.76</v>
      </c>
    </row>
    <row r="88" spans="1:26">
      <c r="A88" s="43"/>
      <c r="B88" s="6"/>
      <c r="C88" s="188">
        <f>C53</f>
        <v>231.7</v>
      </c>
      <c r="D88" s="188">
        <f t="shared" ref="D88:Z88" si="2">D53</f>
        <v>237.74</v>
      </c>
      <c r="E88" s="188">
        <f t="shared" si="2"/>
        <v>243.72</v>
      </c>
      <c r="F88" s="188">
        <f t="shared" si="2"/>
        <v>249.65</v>
      </c>
      <c r="G88" s="188">
        <f t="shared" si="2"/>
        <v>255.53</v>
      </c>
      <c r="H88" s="188">
        <f t="shared" si="2"/>
        <v>261.37</v>
      </c>
      <c r="I88" s="188">
        <f t="shared" si="2"/>
        <v>267.16000000000003</v>
      </c>
      <c r="J88" s="188">
        <f t="shared" si="2"/>
        <v>272.89999999999998</v>
      </c>
      <c r="K88" s="188">
        <f t="shared" si="2"/>
        <v>278.60000000000002</v>
      </c>
      <c r="L88" s="188">
        <f t="shared" si="2"/>
        <v>284.25</v>
      </c>
      <c r="M88" s="188">
        <f t="shared" si="2"/>
        <v>289.87</v>
      </c>
      <c r="N88" s="188">
        <f t="shared" si="2"/>
        <v>295.44</v>
      </c>
      <c r="O88" s="188">
        <f t="shared" si="2"/>
        <v>300.95999999999998</v>
      </c>
      <c r="P88" s="188">
        <f t="shared" si="2"/>
        <v>306.45</v>
      </c>
      <c r="Q88" s="188">
        <f t="shared" si="2"/>
        <v>311.89</v>
      </c>
      <c r="R88" s="188">
        <f t="shared" si="2"/>
        <v>317.29000000000002</v>
      </c>
      <c r="S88" s="188">
        <f t="shared" si="2"/>
        <v>322.64</v>
      </c>
      <c r="T88" s="188">
        <f t="shared" si="2"/>
        <v>327.95</v>
      </c>
      <c r="U88" s="188">
        <f t="shared" si="2"/>
        <v>333.22</v>
      </c>
      <c r="V88" s="188">
        <f t="shared" si="2"/>
        <v>338.44</v>
      </c>
      <c r="W88" s="188">
        <f t="shared" si="2"/>
        <v>343.62</v>
      </c>
      <c r="X88" s="188">
        <f t="shared" si="2"/>
        <v>348.74</v>
      </c>
      <c r="Y88" s="188">
        <f t="shared" si="2"/>
        <v>353.83</v>
      </c>
      <c r="Z88" s="188">
        <f t="shared" si="2"/>
        <v>358.86</v>
      </c>
    </row>
    <row r="89" spans="1:26">
      <c r="A89" t="s">
        <v>772</v>
      </c>
      <c r="B89" t="s">
        <v>102</v>
      </c>
      <c r="C89" s="188">
        <f>C6</f>
        <v>703.12</v>
      </c>
      <c r="D89" s="188">
        <f t="shared" ref="D89:Z89" si="3">D6</f>
        <v>700.24</v>
      </c>
      <c r="E89" s="188">
        <f t="shared" si="3"/>
        <v>697.37</v>
      </c>
      <c r="F89" s="188">
        <f t="shared" si="3"/>
        <v>694.49</v>
      </c>
      <c r="G89" s="188">
        <f t="shared" si="3"/>
        <v>691.62</v>
      </c>
      <c r="H89" s="188">
        <f t="shared" si="3"/>
        <v>688.74</v>
      </c>
      <c r="I89" s="188">
        <f t="shared" si="3"/>
        <v>685.86</v>
      </c>
      <c r="J89" s="188">
        <f t="shared" si="3"/>
        <v>682.98</v>
      </c>
      <c r="K89" s="188">
        <f t="shared" si="3"/>
        <v>680.11</v>
      </c>
      <c r="L89" s="188">
        <f t="shared" si="3"/>
        <v>677.24</v>
      </c>
      <c r="M89" s="188">
        <f t="shared" si="3"/>
        <v>674.37</v>
      </c>
      <c r="N89" s="188">
        <f t="shared" si="3"/>
        <v>671.52</v>
      </c>
      <c r="O89" s="188">
        <f t="shared" si="3"/>
        <v>668.68</v>
      </c>
      <c r="P89" s="188">
        <f t="shared" si="3"/>
        <v>665.86</v>
      </c>
      <c r="Q89" s="188">
        <f t="shared" si="3"/>
        <v>663.06</v>
      </c>
      <c r="R89" s="188">
        <f t="shared" si="3"/>
        <v>660.3</v>
      </c>
      <c r="S89" s="188">
        <f t="shared" si="3"/>
        <v>657.56</v>
      </c>
      <c r="T89" s="188">
        <f t="shared" si="3"/>
        <v>654.86</v>
      </c>
      <c r="U89" s="188">
        <f t="shared" si="3"/>
        <v>652.21</v>
      </c>
      <c r="V89" s="188">
        <f t="shared" si="3"/>
        <v>649.61</v>
      </c>
      <c r="W89" s="188">
        <f t="shared" si="3"/>
        <v>647.07000000000005</v>
      </c>
      <c r="X89" s="188">
        <f t="shared" si="3"/>
        <v>644.59</v>
      </c>
      <c r="Y89" s="188">
        <f t="shared" si="3"/>
        <v>642.17999999999995</v>
      </c>
      <c r="Z89" s="188">
        <f t="shared" si="3"/>
        <v>639.86</v>
      </c>
    </row>
    <row r="90" spans="1:26">
      <c r="C90" s="188">
        <f>C30</f>
        <v>684.17</v>
      </c>
      <c r="D90" s="188">
        <f t="shared" ref="D90:Z90" si="4">D30</f>
        <v>681.13</v>
      </c>
      <c r="E90" s="188">
        <f t="shared" si="4"/>
        <v>678.11</v>
      </c>
      <c r="F90" s="188">
        <f t="shared" si="4"/>
        <v>675.1</v>
      </c>
      <c r="G90" s="188">
        <f t="shared" si="4"/>
        <v>672.11</v>
      </c>
      <c r="H90" s="188">
        <f t="shared" si="4"/>
        <v>669.13</v>
      </c>
      <c r="I90" s="188">
        <f t="shared" si="4"/>
        <v>666.15</v>
      </c>
      <c r="J90" s="188">
        <f t="shared" si="4"/>
        <v>663.17</v>
      </c>
      <c r="K90" s="188">
        <f t="shared" si="4"/>
        <v>660.2</v>
      </c>
      <c r="L90" s="188">
        <f t="shared" si="4"/>
        <v>657.23</v>
      </c>
      <c r="M90" s="188">
        <f t="shared" si="4"/>
        <v>654.26</v>
      </c>
      <c r="N90" s="188">
        <f t="shared" si="4"/>
        <v>651.29999999999995</v>
      </c>
      <c r="O90" s="188">
        <f t="shared" si="4"/>
        <v>648.34</v>
      </c>
      <c r="P90" s="188">
        <f t="shared" si="4"/>
        <v>645.38</v>
      </c>
      <c r="Q90" s="188">
        <f t="shared" si="4"/>
        <v>642.41999999999996</v>
      </c>
      <c r="R90" s="188">
        <f t="shared" si="4"/>
        <v>639.47</v>
      </c>
      <c r="S90" s="188">
        <f t="shared" si="4"/>
        <v>636.53</v>
      </c>
      <c r="T90" s="188">
        <f t="shared" si="4"/>
        <v>633.6</v>
      </c>
      <c r="U90" s="188">
        <f t="shared" si="4"/>
        <v>630.69000000000005</v>
      </c>
      <c r="V90" s="188">
        <f t="shared" si="4"/>
        <v>627.79</v>
      </c>
      <c r="W90" s="188">
        <f t="shared" si="4"/>
        <v>624.91</v>
      </c>
      <c r="X90" s="188">
        <f t="shared" si="4"/>
        <v>622.05999999999995</v>
      </c>
      <c r="Y90" s="188">
        <f t="shared" si="4"/>
        <v>619.23</v>
      </c>
      <c r="Z90" s="188">
        <f t="shared" si="4"/>
        <v>616.44000000000005</v>
      </c>
    </row>
    <row r="91" spans="1:26">
      <c r="C91" s="188">
        <f>C54</f>
        <v>671.37</v>
      </c>
      <c r="D91" s="188">
        <f t="shared" ref="D91:Z91" si="5">D54</f>
        <v>668.09</v>
      </c>
      <c r="E91" s="188">
        <f t="shared" si="5"/>
        <v>664.85</v>
      </c>
      <c r="F91" s="188">
        <f t="shared" si="5"/>
        <v>661.65</v>
      </c>
      <c r="G91" s="188">
        <f t="shared" si="5"/>
        <v>658.48</v>
      </c>
      <c r="H91" s="188">
        <f t="shared" si="5"/>
        <v>655.34</v>
      </c>
      <c r="I91" s="188">
        <f t="shared" si="5"/>
        <v>652.21</v>
      </c>
      <c r="J91" s="188">
        <f t="shared" si="5"/>
        <v>649.1</v>
      </c>
      <c r="K91" s="188">
        <f t="shared" si="5"/>
        <v>646</v>
      </c>
      <c r="L91" s="188">
        <f t="shared" si="5"/>
        <v>642.91</v>
      </c>
      <c r="M91" s="188">
        <f t="shared" si="5"/>
        <v>639.83000000000004</v>
      </c>
      <c r="N91" s="188">
        <f t="shared" si="5"/>
        <v>636.74</v>
      </c>
      <c r="O91" s="188">
        <f t="shared" si="5"/>
        <v>633.66999999999996</v>
      </c>
      <c r="P91" s="188">
        <f t="shared" si="5"/>
        <v>630.59</v>
      </c>
      <c r="Q91" s="188">
        <f t="shared" si="5"/>
        <v>627.52</v>
      </c>
      <c r="R91" s="188">
        <f t="shared" si="5"/>
        <v>624.45000000000005</v>
      </c>
      <c r="S91" s="188">
        <f t="shared" si="5"/>
        <v>621.38</v>
      </c>
      <c r="T91" s="188">
        <f t="shared" si="5"/>
        <v>618.30999999999995</v>
      </c>
      <c r="U91" s="188">
        <f t="shared" si="5"/>
        <v>615.25</v>
      </c>
      <c r="V91" s="188">
        <f t="shared" si="5"/>
        <v>612.20000000000005</v>
      </c>
      <c r="W91" s="188">
        <f t="shared" si="5"/>
        <v>609.15</v>
      </c>
      <c r="X91" s="188">
        <f t="shared" si="5"/>
        <v>606.11</v>
      </c>
      <c r="Y91" s="188">
        <f t="shared" si="5"/>
        <v>603.09</v>
      </c>
      <c r="Z91" s="188">
        <f t="shared" si="5"/>
        <v>600.08000000000004</v>
      </c>
    </row>
    <row r="92" spans="1:26">
      <c r="A92" t="s">
        <v>773</v>
      </c>
      <c r="B92" t="s">
        <v>774</v>
      </c>
      <c r="C92" s="188">
        <f>C7</f>
        <v>2.585</v>
      </c>
      <c r="D92" s="188">
        <f t="shared" ref="D92:Z92" si="6">D7</f>
        <v>2.6070000000000002</v>
      </c>
      <c r="E92" s="188">
        <f t="shared" si="6"/>
        <v>2.6280000000000001</v>
      </c>
      <c r="F92" s="188">
        <f t="shared" si="6"/>
        <v>2.649</v>
      </c>
      <c r="G92" s="188">
        <f t="shared" si="6"/>
        <v>2.67</v>
      </c>
      <c r="H92" s="188">
        <f t="shared" si="6"/>
        <v>2.6909999999999998</v>
      </c>
      <c r="I92" s="188">
        <f t="shared" si="6"/>
        <v>2.7109999999999999</v>
      </c>
      <c r="J92" s="188">
        <f t="shared" si="6"/>
        <v>2.7309999999999999</v>
      </c>
      <c r="K92" s="188">
        <f t="shared" si="6"/>
        <v>2.75</v>
      </c>
      <c r="L92" s="188">
        <f t="shared" si="6"/>
        <v>2.77</v>
      </c>
      <c r="M92" s="188">
        <f t="shared" si="6"/>
        <v>2.7890000000000001</v>
      </c>
      <c r="N92" s="188">
        <f t="shared" si="6"/>
        <v>2.8069999999999999</v>
      </c>
      <c r="O92" s="188">
        <f t="shared" si="6"/>
        <v>2.8260000000000001</v>
      </c>
      <c r="P92" s="188">
        <f t="shared" si="6"/>
        <v>2.8439999999999999</v>
      </c>
      <c r="Q92" s="188">
        <f t="shared" si="6"/>
        <v>2.8610000000000002</v>
      </c>
      <c r="R92" s="188">
        <f t="shared" si="6"/>
        <v>2.879</v>
      </c>
      <c r="S92" s="188">
        <f t="shared" si="6"/>
        <v>2.8959999999999999</v>
      </c>
      <c r="T92" s="188">
        <f t="shared" si="6"/>
        <v>2.9129999999999998</v>
      </c>
      <c r="U92" s="188">
        <f t="shared" si="6"/>
        <v>2.9289999999999998</v>
      </c>
      <c r="V92" s="188">
        <f t="shared" si="6"/>
        <v>2.9460000000000002</v>
      </c>
      <c r="W92" s="188">
        <f t="shared" si="6"/>
        <v>2.9609999999999999</v>
      </c>
      <c r="X92" s="188">
        <f t="shared" si="6"/>
        <v>2.9769999999999999</v>
      </c>
      <c r="Y92" s="188">
        <f t="shared" si="6"/>
        <v>2.992</v>
      </c>
      <c r="Z92" s="188">
        <f t="shared" si="6"/>
        <v>3.0070000000000001</v>
      </c>
    </row>
    <row r="93" spans="1:26">
      <c r="C93" s="188">
        <f>C31</f>
        <v>2.62</v>
      </c>
      <c r="D93" s="188">
        <f t="shared" ref="D93:Z93" si="7">D31</f>
        <v>2.6419999999999999</v>
      </c>
      <c r="E93" s="188">
        <f t="shared" si="7"/>
        <v>2.6629999999999998</v>
      </c>
      <c r="F93" s="188">
        <f t="shared" si="7"/>
        <v>2.6840000000000002</v>
      </c>
      <c r="G93" s="188">
        <f t="shared" si="7"/>
        <v>2.7050000000000001</v>
      </c>
      <c r="H93" s="188">
        <f t="shared" si="7"/>
        <v>2.7250000000000001</v>
      </c>
      <c r="I93" s="188">
        <f t="shared" si="7"/>
        <v>2.7450000000000001</v>
      </c>
      <c r="J93" s="188">
        <f t="shared" si="7"/>
        <v>2.7650000000000001</v>
      </c>
      <c r="K93" s="188">
        <f t="shared" si="7"/>
        <v>2.7850000000000001</v>
      </c>
      <c r="L93" s="188">
        <f t="shared" si="7"/>
        <v>2.8039999999999998</v>
      </c>
      <c r="M93" s="188">
        <f t="shared" si="7"/>
        <v>2.823</v>
      </c>
      <c r="N93" s="188">
        <f t="shared" si="7"/>
        <v>2.8420000000000001</v>
      </c>
      <c r="O93" s="188">
        <f t="shared" si="7"/>
        <v>2.8610000000000002</v>
      </c>
      <c r="P93" s="188">
        <f t="shared" si="7"/>
        <v>2.879</v>
      </c>
      <c r="Q93" s="188">
        <f t="shared" si="7"/>
        <v>2.8980000000000001</v>
      </c>
      <c r="R93" s="188">
        <f t="shared" si="7"/>
        <v>2.915</v>
      </c>
      <c r="S93" s="188">
        <f t="shared" si="7"/>
        <v>2.9329999999999998</v>
      </c>
      <c r="T93" s="188">
        <f t="shared" si="7"/>
        <v>2.95</v>
      </c>
      <c r="U93" s="188">
        <f t="shared" si="7"/>
        <v>2.968</v>
      </c>
      <c r="V93" s="188">
        <f t="shared" si="7"/>
        <v>2.984</v>
      </c>
      <c r="W93" s="188">
        <f t="shared" si="7"/>
        <v>3.0009999999999999</v>
      </c>
      <c r="X93" s="188">
        <f t="shared" si="7"/>
        <v>3.0169999999999999</v>
      </c>
      <c r="Y93" s="188">
        <f t="shared" si="7"/>
        <v>3.0339999999999998</v>
      </c>
      <c r="Z93" s="188">
        <f t="shared" si="7"/>
        <v>3.0489999999999999</v>
      </c>
    </row>
    <row r="94" spans="1:26">
      <c r="C94" s="188">
        <f>C55</f>
        <v>2.6440000000000001</v>
      </c>
      <c r="D94" s="188">
        <f t="shared" ref="D94:Z94" si="8">D55</f>
        <v>2.6659999999999999</v>
      </c>
      <c r="E94" s="188">
        <f t="shared" si="8"/>
        <v>2.6869999999999998</v>
      </c>
      <c r="F94" s="188">
        <f t="shared" si="8"/>
        <v>2.7090000000000001</v>
      </c>
      <c r="G94" s="188">
        <f t="shared" si="8"/>
        <v>2.7290000000000001</v>
      </c>
      <c r="H94" s="188">
        <f t="shared" si="8"/>
        <v>2.75</v>
      </c>
      <c r="I94" s="188">
        <f t="shared" si="8"/>
        <v>2.77</v>
      </c>
      <c r="J94" s="188">
        <f t="shared" si="8"/>
        <v>2.79</v>
      </c>
      <c r="K94" s="188">
        <f t="shared" si="8"/>
        <v>2.81</v>
      </c>
      <c r="L94" s="188">
        <f t="shared" si="8"/>
        <v>2.8290000000000002</v>
      </c>
      <c r="M94" s="188">
        <f t="shared" si="8"/>
        <v>2.8479999999999999</v>
      </c>
      <c r="N94" s="188">
        <f t="shared" si="8"/>
        <v>2.867</v>
      </c>
      <c r="O94" s="188">
        <f t="shared" si="8"/>
        <v>2.8860000000000001</v>
      </c>
      <c r="P94" s="188">
        <f t="shared" si="8"/>
        <v>2.9039999999999999</v>
      </c>
      <c r="Q94" s="188">
        <f t="shared" si="8"/>
        <v>2.923</v>
      </c>
      <c r="R94" s="188">
        <f t="shared" si="8"/>
        <v>2.9409999999999998</v>
      </c>
      <c r="S94" s="188">
        <f t="shared" si="8"/>
        <v>2.9590000000000001</v>
      </c>
      <c r="T94" s="188">
        <f t="shared" si="8"/>
        <v>2.976</v>
      </c>
      <c r="U94" s="188">
        <f t="shared" si="8"/>
        <v>2.9940000000000002</v>
      </c>
      <c r="V94" s="188">
        <f t="shared" si="8"/>
        <v>3.0110000000000001</v>
      </c>
      <c r="W94" s="188">
        <f t="shared" si="8"/>
        <v>3.028</v>
      </c>
      <c r="X94" s="188">
        <f t="shared" si="8"/>
        <v>3.044</v>
      </c>
      <c r="Y94" s="188">
        <f t="shared" si="8"/>
        <v>3.0609999999999999</v>
      </c>
      <c r="Z94" s="188">
        <f t="shared" si="8"/>
        <v>3.077</v>
      </c>
    </row>
    <row r="95" spans="1:26">
      <c r="A95" t="s">
        <v>775</v>
      </c>
      <c r="B95" t="s">
        <v>776</v>
      </c>
      <c r="C95" s="188">
        <f>C8</f>
        <v>0.29509999999999997</v>
      </c>
      <c r="D95" s="188">
        <f t="shared" ref="D95:Z95" si="9">D8</f>
        <v>0.2802</v>
      </c>
      <c r="E95" s="188">
        <f t="shared" si="9"/>
        <v>0.2661</v>
      </c>
      <c r="F95" s="188">
        <f t="shared" si="9"/>
        <v>0.2525</v>
      </c>
      <c r="G95" s="188">
        <f t="shared" si="9"/>
        <v>0.24</v>
      </c>
      <c r="H95" s="188">
        <f t="shared" si="9"/>
        <v>0.2281</v>
      </c>
      <c r="I95" s="188">
        <f t="shared" si="9"/>
        <v>0.21679999999999999</v>
      </c>
      <c r="J95" s="188">
        <f t="shared" si="9"/>
        <v>0.20610000000000001</v>
      </c>
      <c r="K95" s="188">
        <f t="shared" si="9"/>
        <v>0.19600000000000001</v>
      </c>
      <c r="L95" s="188">
        <f t="shared" si="9"/>
        <v>0.1862</v>
      </c>
      <c r="M95" s="188">
        <f t="shared" si="9"/>
        <v>0.17710000000000001</v>
      </c>
      <c r="N95" s="188">
        <f t="shared" si="9"/>
        <v>0.16850000000000001</v>
      </c>
      <c r="O95" s="188">
        <f t="shared" si="9"/>
        <v>0.16020000000000001</v>
      </c>
      <c r="P95" s="188">
        <f t="shared" si="9"/>
        <v>0.1525</v>
      </c>
      <c r="Q95" s="188">
        <f t="shared" si="9"/>
        <v>0.14499999999999999</v>
      </c>
      <c r="R95" s="188">
        <f t="shared" si="9"/>
        <v>0.13789999999999999</v>
      </c>
      <c r="S95" s="188">
        <f t="shared" si="9"/>
        <v>0.1313</v>
      </c>
      <c r="T95" s="188">
        <f t="shared" si="9"/>
        <v>0.1249</v>
      </c>
      <c r="U95" s="188">
        <f t="shared" si="9"/>
        <v>0.1188</v>
      </c>
      <c r="V95" s="188">
        <f t="shared" si="9"/>
        <v>0.1132</v>
      </c>
      <c r="W95" s="188">
        <f t="shared" si="9"/>
        <v>0.10780000000000001</v>
      </c>
      <c r="X95" s="188">
        <f t="shared" si="9"/>
        <v>0.1028</v>
      </c>
      <c r="Y95" s="188">
        <f t="shared" si="9"/>
        <v>9.8599999999999993E-2</v>
      </c>
      <c r="Z95" s="188">
        <f t="shared" si="9"/>
        <v>9.4500000000000001E-2</v>
      </c>
    </row>
    <row r="96" spans="1:26">
      <c r="C96" s="188">
        <f>C32</f>
        <v>0.25319999999999998</v>
      </c>
      <c r="D96" s="188">
        <f t="shared" ref="D96:Z96" si="10">D32</f>
        <v>0.2412</v>
      </c>
      <c r="E96" s="188">
        <f t="shared" si="10"/>
        <v>0.22939999999999999</v>
      </c>
      <c r="F96" s="188">
        <f t="shared" si="10"/>
        <v>0.21890000000000001</v>
      </c>
      <c r="G96" s="188">
        <f t="shared" si="10"/>
        <v>0.20880000000000001</v>
      </c>
      <c r="H96" s="188">
        <f t="shared" si="10"/>
        <v>0.1991</v>
      </c>
      <c r="I96" s="188">
        <f t="shared" si="10"/>
        <v>0.19</v>
      </c>
      <c r="J96" s="188">
        <f t="shared" si="10"/>
        <v>0.18129999999999999</v>
      </c>
      <c r="K96" s="188">
        <f t="shared" si="10"/>
        <v>0.1726</v>
      </c>
      <c r="L96" s="188">
        <f t="shared" si="10"/>
        <v>0.1648</v>
      </c>
      <c r="M96" s="188">
        <f t="shared" si="10"/>
        <v>0.15720000000000001</v>
      </c>
      <c r="N96" s="188">
        <f t="shared" si="10"/>
        <v>0.14990000000000001</v>
      </c>
      <c r="O96" s="188">
        <f t="shared" si="10"/>
        <v>0.14299999999999999</v>
      </c>
      <c r="P96" s="188">
        <f t="shared" si="10"/>
        <v>0.13639999999999999</v>
      </c>
      <c r="Q96" s="188">
        <f t="shared" si="10"/>
        <v>0.12989999999999999</v>
      </c>
      <c r="R96" s="188">
        <f t="shared" si="10"/>
        <v>0.12379999999999999</v>
      </c>
      <c r="S96" s="188">
        <f t="shared" si="10"/>
        <v>0.1179</v>
      </c>
      <c r="T96" s="188">
        <f t="shared" si="10"/>
        <v>0.11210000000000001</v>
      </c>
      <c r="U96" s="188">
        <f t="shared" si="10"/>
        <v>0.1067</v>
      </c>
      <c r="V96" s="188">
        <f t="shared" si="10"/>
        <v>0.10150000000000001</v>
      </c>
      <c r="W96" s="188">
        <f t="shared" si="10"/>
        <v>9.6500000000000002E-2</v>
      </c>
      <c r="X96" s="188">
        <f t="shared" si="10"/>
        <v>9.1999999999999998E-2</v>
      </c>
      <c r="Y96" s="188">
        <f t="shared" si="10"/>
        <v>8.7400000000000005E-2</v>
      </c>
      <c r="Z96" s="188">
        <f t="shared" si="10"/>
        <v>8.2900000000000001E-2</v>
      </c>
    </row>
    <row r="97" spans="1:26">
      <c r="C97" s="188">
        <f>C56</f>
        <v>0.22950000000000001</v>
      </c>
      <c r="D97" s="188">
        <f t="shared" ref="D97:Z97" si="11">D56</f>
        <v>0.2185</v>
      </c>
      <c r="E97" s="188">
        <f t="shared" si="11"/>
        <v>0.20830000000000001</v>
      </c>
      <c r="F97" s="188">
        <f t="shared" si="11"/>
        <v>0.19900000000000001</v>
      </c>
      <c r="G97" s="188">
        <f t="shared" si="11"/>
        <v>0.18990000000000001</v>
      </c>
      <c r="H97" s="188">
        <f t="shared" si="11"/>
        <v>0.18160000000000001</v>
      </c>
      <c r="I97" s="188">
        <f t="shared" si="11"/>
        <v>0.17369999999999999</v>
      </c>
      <c r="J97" s="188">
        <f t="shared" si="11"/>
        <v>0.16589999999999999</v>
      </c>
      <c r="K97" s="188">
        <f t="shared" si="11"/>
        <v>0.1583</v>
      </c>
      <c r="L97" s="188">
        <f t="shared" si="11"/>
        <v>0.15140000000000001</v>
      </c>
      <c r="M97" s="188">
        <f t="shared" si="11"/>
        <v>0.14460000000000001</v>
      </c>
      <c r="N97" s="188">
        <f t="shared" si="11"/>
        <v>0.13830000000000001</v>
      </c>
      <c r="O97" s="188">
        <f t="shared" si="11"/>
        <v>0.13220000000000001</v>
      </c>
      <c r="P97" s="188">
        <f t="shared" si="11"/>
        <v>0.12609999999999999</v>
      </c>
      <c r="Q97" s="188">
        <f t="shared" si="11"/>
        <v>0.1205</v>
      </c>
      <c r="R97" s="188">
        <f t="shared" si="11"/>
        <v>0.115</v>
      </c>
      <c r="S97" s="188">
        <f t="shared" si="11"/>
        <v>0.1096</v>
      </c>
      <c r="T97" s="188">
        <f t="shared" si="11"/>
        <v>0.1045</v>
      </c>
      <c r="U97" s="188">
        <f t="shared" si="11"/>
        <v>9.9599999999999994E-2</v>
      </c>
      <c r="V97" s="188">
        <f t="shared" si="11"/>
        <v>9.4700000000000006E-2</v>
      </c>
      <c r="W97" s="188">
        <f t="shared" si="11"/>
        <v>9.0399999999999994E-2</v>
      </c>
      <c r="X97" s="188">
        <f t="shared" si="11"/>
        <v>8.5999999999999993E-2</v>
      </c>
      <c r="Y97" s="188">
        <f t="shared" si="11"/>
        <v>8.1699999999999995E-2</v>
      </c>
      <c r="Z97" s="188">
        <f t="shared" si="11"/>
        <v>7.7299999999999994E-2</v>
      </c>
    </row>
    <row r="98" spans="1:26">
      <c r="A98" t="s">
        <v>777</v>
      </c>
      <c r="B98" t="s">
        <v>778</v>
      </c>
      <c r="C98" s="188">
        <f>C9</f>
        <v>9.5399999999999999E-2</v>
      </c>
      <c r="D98" s="188">
        <f t="shared" ref="D98:Z98" si="12">D9</f>
        <v>9.5100000000000004E-2</v>
      </c>
      <c r="E98" s="188">
        <f t="shared" si="12"/>
        <v>9.4700000000000006E-2</v>
      </c>
      <c r="F98" s="188">
        <f t="shared" si="12"/>
        <v>9.4399999999999998E-2</v>
      </c>
      <c r="G98" s="188">
        <f t="shared" si="12"/>
        <v>9.4100000000000003E-2</v>
      </c>
      <c r="H98" s="188">
        <f t="shared" si="12"/>
        <v>9.3700000000000006E-2</v>
      </c>
      <c r="I98" s="188">
        <f t="shared" si="12"/>
        <v>9.3299999999999994E-2</v>
      </c>
      <c r="J98" s="188">
        <f t="shared" si="12"/>
        <v>9.2899999999999996E-2</v>
      </c>
      <c r="K98" s="188">
        <f t="shared" si="12"/>
        <v>9.2499999999999999E-2</v>
      </c>
      <c r="L98" s="188">
        <f t="shared" si="12"/>
        <v>9.1999999999999998E-2</v>
      </c>
      <c r="M98" s="188">
        <f t="shared" si="12"/>
        <v>9.1600000000000001E-2</v>
      </c>
      <c r="N98" s="188">
        <f t="shared" si="12"/>
        <v>9.1200000000000003E-2</v>
      </c>
      <c r="O98" s="188">
        <f t="shared" si="12"/>
        <v>9.0700000000000003E-2</v>
      </c>
      <c r="P98" s="188">
        <f t="shared" si="12"/>
        <v>9.0300000000000005E-2</v>
      </c>
      <c r="Q98" s="188">
        <f t="shared" si="12"/>
        <v>8.9800000000000005E-2</v>
      </c>
      <c r="R98" s="188">
        <f t="shared" si="12"/>
        <v>8.9399999999999993E-2</v>
      </c>
      <c r="S98" s="188">
        <f t="shared" si="12"/>
        <v>8.8900000000000007E-2</v>
      </c>
      <c r="T98" s="188">
        <f t="shared" si="12"/>
        <v>8.8499999999999995E-2</v>
      </c>
      <c r="U98" s="188">
        <f t="shared" si="12"/>
        <v>8.7999999999999995E-2</v>
      </c>
      <c r="V98" s="188">
        <f t="shared" si="12"/>
        <v>8.7599999999999997E-2</v>
      </c>
      <c r="W98" s="188">
        <f t="shared" si="12"/>
        <v>8.7099999999999997E-2</v>
      </c>
      <c r="X98" s="188">
        <f t="shared" si="12"/>
        <v>8.6699999999999999E-2</v>
      </c>
      <c r="Y98" s="188">
        <f t="shared" si="12"/>
        <v>8.6199999999999999E-2</v>
      </c>
      <c r="Z98" s="188">
        <f t="shared" si="12"/>
        <v>8.5800000000000001E-2</v>
      </c>
    </row>
    <row r="99" spans="1:26">
      <c r="C99" s="188">
        <f>C33</f>
        <v>8.8400000000000006E-2</v>
      </c>
      <c r="D99" s="188">
        <f t="shared" ref="D99:Z99" si="13">D33</f>
        <v>8.8499999999999995E-2</v>
      </c>
      <c r="E99" s="188">
        <f t="shared" si="13"/>
        <v>8.8400000000000006E-2</v>
      </c>
      <c r="F99" s="188">
        <f t="shared" si="13"/>
        <v>8.8400000000000006E-2</v>
      </c>
      <c r="G99" s="188">
        <f t="shared" si="13"/>
        <v>8.8200000000000001E-2</v>
      </c>
      <c r="H99" s="188">
        <f t="shared" si="13"/>
        <v>8.8099999999999998E-2</v>
      </c>
      <c r="I99" s="188">
        <f t="shared" si="13"/>
        <v>8.7900000000000006E-2</v>
      </c>
      <c r="J99" s="188">
        <f t="shared" si="13"/>
        <v>8.77E-2</v>
      </c>
      <c r="K99" s="188">
        <f t="shared" si="13"/>
        <v>8.7499999999999994E-2</v>
      </c>
      <c r="L99" s="188">
        <f t="shared" si="13"/>
        <v>8.72E-2</v>
      </c>
      <c r="M99" s="188">
        <f t="shared" si="13"/>
        <v>8.6900000000000005E-2</v>
      </c>
      <c r="N99" s="188">
        <f t="shared" si="13"/>
        <v>8.6599999999999996E-2</v>
      </c>
      <c r="O99" s="188">
        <f t="shared" si="13"/>
        <v>8.6300000000000002E-2</v>
      </c>
      <c r="P99" s="188">
        <f t="shared" si="13"/>
        <v>8.5999999999999993E-2</v>
      </c>
      <c r="Q99" s="188">
        <f t="shared" si="13"/>
        <v>8.5599999999999996E-2</v>
      </c>
      <c r="R99" s="188">
        <f t="shared" si="13"/>
        <v>8.5300000000000001E-2</v>
      </c>
      <c r="S99" s="188">
        <f t="shared" si="13"/>
        <v>8.4900000000000003E-2</v>
      </c>
      <c r="T99" s="188">
        <f t="shared" si="13"/>
        <v>8.4599999999999995E-2</v>
      </c>
      <c r="U99" s="188">
        <f t="shared" si="13"/>
        <v>8.4199999999999997E-2</v>
      </c>
      <c r="V99" s="188">
        <f t="shared" si="13"/>
        <v>8.3799999999999999E-2</v>
      </c>
      <c r="W99" s="188">
        <f t="shared" si="13"/>
        <v>8.3400000000000002E-2</v>
      </c>
      <c r="X99" s="188">
        <f t="shared" si="13"/>
        <v>8.3000000000000004E-2</v>
      </c>
      <c r="Y99" s="188">
        <f t="shared" si="13"/>
        <v>8.2600000000000007E-2</v>
      </c>
      <c r="Z99" s="188">
        <f t="shared" si="13"/>
        <v>8.2199999999999995E-2</v>
      </c>
    </row>
    <row r="100" spans="1:26">
      <c r="C100" s="188">
        <f>C57</f>
        <v>8.2199999999999995E-2</v>
      </c>
      <c r="D100" s="188">
        <f t="shared" ref="D100:Z100" si="14">D57</f>
        <v>8.2500000000000004E-2</v>
      </c>
      <c r="E100" s="188">
        <f t="shared" si="14"/>
        <v>8.2699999999999996E-2</v>
      </c>
      <c r="F100" s="188">
        <f t="shared" si="14"/>
        <v>8.2900000000000001E-2</v>
      </c>
      <c r="G100" s="188">
        <f t="shared" si="14"/>
        <v>8.3000000000000004E-2</v>
      </c>
      <c r="H100" s="188">
        <f t="shared" si="14"/>
        <v>8.3099999999999993E-2</v>
      </c>
      <c r="I100" s="188">
        <f t="shared" si="14"/>
        <v>8.3099999999999993E-2</v>
      </c>
      <c r="J100" s="188">
        <f t="shared" si="14"/>
        <v>8.3099999999999993E-2</v>
      </c>
      <c r="K100" s="188">
        <f t="shared" si="14"/>
        <v>8.3000000000000004E-2</v>
      </c>
      <c r="L100" s="188">
        <f t="shared" si="14"/>
        <v>8.2900000000000001E-2</v>
      </c>
      <c r="M100" s="188">
        <f t="shared" si="14"/>
        <v>8.2799999999999999E-2</v>
      </c>
      <c r="N100" s="188">
        <f t="shared" si="14"/>
        <v>8.2600000000000007E-2</v>
      </c>
      <c r="O100" s="188">
        <f t="shared" si="14"/>
        <v>8.2500000000000004E-2</v>
      </c>
      <c r="P100" s="188">
        <f t="shared" si="14"/>
        <v>8.2299999999999998E-2</v>
      </c>
      <c r="Q100" s="188">
        <f t="shared" si="14"/>
        <v>8.2000000000000003E-2</v>
      </c>
      <c r="R100" s="188">
        <f t="shared" si="14"/>
        <v>8.1799999999999998E-2</v>
      </c>
      <c r="S100" s="188">
        <f t="shared" si="14"/>
        <v>8.1500000000000003E-2</v>
      </c>
      <c r="T100" s="188">
        <f t="shared" si="14"/>
        <v>8.1299999999999997E-2</v>
      </c>
      <c r="U100" s="188">
        <f t="shared" si="14"/>
        <v>8.1000000000000003E-2</v>
      </c>
      <c r="V100" s="188">
        <f t="shared" si="14"/>
        <v>8.0699999999999994E-2</v>
      </c>
      <c r="W100" s="188">
        <f t="shared" si="14"/>
        <v>8.0399999999999999E-2</v>
      </c>
      <c r="X100" s="188">
        <f t="shared" si="14"/>
        <v>0.08</v>
      </c>
      <c r="Y100" s="188">
        <f t="shared" si="14"/>
        <v>7.9699999999999993E-2</v>
      </c>
      <c r="Z100" s="188">
        <f t="shared" si="14"/>
        <v>7.9399999999999998E-2</v>
      </c>
    </row>
    <row r="101" spans="1:26">
      <c r="A101" t="s">
        <v>779</v>
      </c>
      <c r="B101" t="s">
        <v>780</v>
      </c>
      <c r="C101" s="188">
        <f>C10</f>
        <v>1.38E-2</v>
      </c>
      <c r="D101" s="188">
        <f t="shared" ref="D101:Z101" si="15">D10</f>
        <v>1.3599999999999999E-2</v>
      </c>
      <c r="E101" s="188">
        <f t="shared" si="15"/>
        <v>1.34E-2</v>
      </c>
      <c r="F101" s="188">
        <f t="shared" si="15"/>
        <v>1.32E-2</v>
      </c>
      <c r="G101" s="188">
        <f t="shared" si="15"/>
        <v>1.2999999999999999E-2</v>
      </c>
      <c r="H101" s="188">
        <f t="shared" si="15"/>
        <v>1.2800000000000001E-2</v>
      </c>
      <c r="I101" s="188">
        <f t="shared" si="15"/>
        <v>1.26E-2</v>
      </c>
      <c r="J101" s="188">
        <f t="shared" si="15"/>
        <v>1.24E-2</v>
      </c>
      <c r="K101" s="188">
        <f t="shared" si="15"/>
        <v>1.2200000000000001E-2</v>
      </c>
      <c r="L101" s="188">
        <f t="shared" si="15"/>
        <v>1.2E-2</v>
      </c>
      <c r="M101" s="188">
        <f t="shared" si="15"/>
        <v>1.18E-2</v>
      </c>
      <c r="N101" s="188">
        <f t="shared" si="15"/>
        <v>1.1599999999999999E-2</v>
      </c>
      <c r="O101" s="188">
        <f t="shared" si="15"/>
        <v>1.14E-2</v>
      </c>
      <c r="P101" s="188">
        <f t="shared" si="15"/>
        <v>1.1299999999999999E-2</v>
      </c>
      <c r="Q101" s="188">
        <f t="shared" si="15"/>
        <v>1.11E-2</v>
      </c>
      <c r="R101" s="188">
        <f t="shared" si="15"/>
        <v>1.09E-2</v>
      </c>
      <c r="S101" s="188">
        <f t="shared" si="15"/>
        <v>1.0699999999999999E-2</v>
      </c>
      <c r="T101" s="188">
        <f t="shared" si="15"/>
        <v>1.06E-2</v>
      </c>
      <c r="U101" s="188">
        <f t="shared" si="15"/>
        <v>1.04E-2</v>
      </c>
      <c r="V101" s="188">
        <f t="shared" si="15"/>
        <v>1.0200000000000001E-2</v>
      </c>
      <c r="W101" s="188">
        <f t="shared" si="15"/>
        <v>1.01E-2</v>
      </c>
      <c r="X101" s="188">
        <f t="shared" si="15"/>
        <v>9.9000000000000008E-3</v>
      </c>
      <c r="Y101" s="188">
        <f t="shared" si="15"/>
        <v>9.7999999999999997E-3</v>
      </c>
      <c r="Z101" s="188">
        <f t="shared" si="15"/>
        <v>9.5999999999999992E-3</v>
      </c>
    </row>
    <row r="102" spans="1:26">
      <c r="C102" s="188">
        <f>C34</f>
        <v>1.2E-2</v>
      </c>
      <c r="D102" s="188">
        <f t="shared" ref="D102:Z102" si="16">D34</f>
        <v>1.18E-2</v>
      </c>
      <c r="E102" s="188">
        <f t="shared" si="16"/>
        <v>1.1599999999999999E-2</v>
      </c>
      <c r="F102" s="188">
        <f t="shared" si="16"/>
        <v>1.14E-2</v>
      </c>
      <c r="G102" s="188">
        <f t="shared" si="16"/>
        <v>1.1299999999999999E-2</v>
      </c>
      <c r="H102" s="188">
        <f t="shared" si="16"/>
        <v>1.11E-2</v>
      </c>
      <c r="I102" s="188">
        <f t="shared" si="16"/>
        <v>1.09E-2</v>
      </c>
      <c r="J102" s="188">
        <f t="shared" si="16"/>
        <v>1.0699999999999999E-2</v>
      </c>
      <c r="K102" s="188">
        <f t="shared" si="16"/>
        <v>1.0500000000000001E-2</v>
      </c>
      <c r="L102" s="188">
        <f t="shared" si="16"/>
        <v>1.04E-2</v>
      </c>
      <c r="M102" s="188">
        <f t="shared" si="16"/>
        <v>1.0200000000000001E-2</v>
      </c>
      <c r="N102" s="188">
        <f t="shared" si="16"/>
        <v>0.01</v>
      </c>
      <c r="O102" s="188">
        <f t="shared" si="16"/>
        <v>9.9000000000000008E-3</v>
      </c>
      <c r="P102" s="188">
        <f t="shared" si="16"/>
        <v>9.7000000000000003E-3</v>
      </c>
      <c r="Q102" s="188">
        <f t="shared" si="16"/>
        <v>9.4999999999999998E-3</v>
      </c>
      <c r="R102" s="188">
        <f t="shared" si="16"/>
        <v>9.4000000000000004E-3</v>
      </c>
      <c r="S102" s="188">
        <f t="shared" si="16"/>
        <v>9.1999999999999998E-3</v>
      </c>
      <c r="T102" s="188">
        <f t="shared" si="16"/>
        <v>8.9999999999999993E-3</v>
      </c>
      <c r="U102" s="188">
        <f t="shared" si="16"/>
        <v>8.8999999999999999E-3</v>
      </c>
      <c r="V102" s="188">
        <f t="shared" si="16"/>
        <v>8.6999999999999994E-3</v>
      </c>
      <c r="W102" s="188">
        <f t="shared" si="16"/>
        <v>8.6E-3</v>
      </c>
      <c r="X102" s="188">
        <f t="shared" si="16"/>
        <v>8.3999999999999995E-3</v>
      </c>
      <c r="Y102" s="188">
        <f t="shared" si="16"/>
        <v>8.3000000000000001E-3</v>
      </c>
      <c r="Z102" s="188">
        <f t="shared" si="16"/>
        <v>8.0999999999999996E-3</v>
      </c>
    </row>
    <row r="103" spans="1:26">
      <c r="C103" s="188">
        <f>C58</f>
        <v>1.09E-2</v>
      </c>
      <c r="D103" s="188">
        <f t="shared" ref="D103:Z103" si="17">D58</f>
        <v>1.0699999999999999E-2</v>
      </c>
      <c r="E103" s="188">
        <f t="shared" si="17"/>
        <v>1.0500000000000001E-2</v>
      </c>
      <c r="F103" s="188">
        <f t="shared" si="17"/>
        <v>1.03E-2</v>
      </c>
      <c r="G103" s="188">
        <f t="shared" si="17"/>
        <v>1.01E-2</v>
      </c>
      <c r="H103" s="188">
        <f t="shared" si="17"/>
        <v>0.01</v>
      </c>
      <c r="I103" s="188">
        <f t="shared" si="17"/>
        <v>9.7999999999999997E-3</v>
      </c>
      <c r="J103" s="188">
        <f t="shared" si="17"/>
        <v>9.5999999999999992E-3</v>
      </c>
      <c r="K103" s="188">
        <f t="shared" si="17"/>
        <v>9.4999999999999998E-3</v>
      </c>
      <c r="L103" s="188">
        <f t="shared" si="17"/>
        <v>9.2999999999999992E-3</v>
      </c>
      <c r="M103" s="188">
        <f t="shared" si="17"/>
        <v>9.1000000000000004E-3</v>
      </c>
      <c r="N103" s="188">
        <f t="shared" si="17"/>
        <v>8.9999999999999993E-3</v>
      </c>
      <c r="O103" s="188">
        <f t="shared" si="17"/>
        <v>8.8000000000000005E-3</v>
      </c>
      <c r="P103" s="188">
        <f t="shared" si="17"/>
        <v>8.6999999999999994E-3</v>
      </c>
      <c r="Q103" s="188">
        <f t="shared" si="17"/>
        <v>8.5000000000000006E-3</v>
      </c>
      <c r="R103" s="188">
        <f t="shared" si="17"/>
        <v>8.3999999999999995E-3</v>
      </c>
      <c r="S103" s="188">
        <f t="shared" si="17"/>
        <v>8.2000000000000007E-3</v>
      </c>
      <c r="T103" s="188">
        <f t="shared" si="17"/>
        <v>8.0000000000000002E-3</v>
      </c>
      <c r="U103" s="188">
        <f t="shared" si="17"/>
        <v>7.9000000000000008E-3</v>
      </c>
      <c r="V103" s="188">
        <f t="shared" si="17"/>
        <v>7.7999999999999996E-3</v>
      </c>
      <c r="W103" s="188">
        <f t="shared" si="17"/>
        <v>7.6E-3</v>
      </c>
      <c r="X103" s="188">
        <f t="shared" si="17"/>
        <v>7.4999999999999997E-3</v>
      </c>
      <c r="Y103" s="188">
        <f t="shared" si="17"/>
        <v>7.3000000000000001E-3</v>
      </c>
      <c r="Z103" s="188">
        <f t="shared" si="17"/>
        <v>7.1999999999999998E-3</v>
      </c>
    </row>
    <row r="104" spans="1:26">
      <c r="A104" t="s">
        <v>781</v>
      </c>
      <c r="C104" s="188">
        <f>C11</f>
        <v>379.52179999999998</v>
      </c>
      <c r="D104" s="188">
        <f t="shared" ref="D104:Z104" si="18">D11</f>
        <v>384.78339999999997</v>
      </c>
      <c r="E104" s="188">
        <f t="shared" si="18"/>
        <v>390.00420000000003</v>
      </c>
      <c r="F104" s="188">
        <f t="shared" si="18"/>
        <v>395.18090000000001</v>
      </c>
      <c r="G104" s="188">
        <f t="shared" si="18"/>
        <v>400.31040000000002</v>
      </c>
      <c r="H104" s="188">
        <f t="shared" si="18"/>
        <v>405.39069999999998</v>
      </c>
      <c r="I104" s="188">
        <f t="shared" si="18"/>
        <v>410.42009999999999</v>
      </c>
      <c r="J104" s="188">
        <f t="shared" si="18"/>
        <v>415.39780000000002</v>
      </c>
      <c r="K104" s="188">
        <f t="shared" si="18"/>
        <v>420.32380000000001</v>
      </c>
      <c r="L104" s="188">
        <f t="shared" si="18"/>
        <v>425.19920000000002</v>
      </c>
      <c r="M104" s="188">
        <f t="shared" si="18"/>
        <v>430.02629999999999</v>
      </c>
      <c r="N104" s="188">
        <f t="shared" si="18"/>
        <v>434.80880000000002</v>
      </c>
      <c r="O104" s="188">
        <f t="shared" si="18"/>
        <v>439.55189999999999</v>
      </c>
      <c r="P104" s="188">
        <f t="shared" si="18"/>
        <v>444.2629</v>
      </c>
      <c r="Q104" s="188">
        <f t="shared" si="18"/>
        <v>448.95089999999999</v>
      </c>
      <c r="R104" s="188">
        <f t="shared" si="18"/>
        <v>453.62729999999999</v>
      </c>
      <c r="S104" s="188">
        <f t="shared" si="18"/>
        <v>458.30630000000002</v>
      </c>
      <c r="T104" s="188">
        <f t="shared" si="18"/>
        <v>463.00459999999998</v>
      </c>
      <c r="U104" s="188">
        <f t="shared" si="18"/>
        <v>467.74209999999999</v>
      </c>
      <c r="V104" s="188">
        <f t="shared" si="18"/>
        <v>472.54199999999997</v>
      </c>
      <c r="W104" s="188">
        <f t="shared" si="18"/>
        <v>477.43150000000003</v>
      </c>
      <c r="X104" s="188">
        <f t="shared" si="18"/>
        <v>482.44189999999998</v>
      </c>
      <c r="Y104" s="188">
        <f t="shared" si="18"/>
        <v>487.60910000000001</v>
      </c>
      <c r="Z104" s="188">
        <f t="shared" si="18"/>
        <v>492.97430000000003</v>
      </c>
    </row>
    <row r="105" spans="1:26">
      <c r="C105" s="188">
        <f>C35</f>
        <v>341.85309999999998</v>
      </c>
      <c r="D105" s="188">
        <f t="shared" ref="D105:Z105" si="19">D35</f>
        <v>346.61160000000001</v>
      </c>
      <c r="E105" s="188">
        <f t="shared" si="19"/>
        <v>351.37670000000003</v>
      </c>
      <c r="F105" s="188">
        <f t="shared" si="19"/>
        <v>356.14080000000001</v>
      </c>
      <c r="G105" s="188">
        <f t="shared" si="19"/>
        <v>360.89729999999997</v>
      </c>
      <c r="H105" s="188">
        <f t="shared" si="19"/>
        <v>365.64049999999997</v>
      </c>
      <c r="I105" s="188">
        <f t="shared" si="19"/>
        <v>370.36590000000001</v>
      </c>
      <c r="J105" s="188">
        <f t="shared" si="19"/>
        <v>375.06939999999997</v>
      </c>
      <c r="K105" s="188">
        <f t="shared" si="19"/>
        <v>379.74770000000001</v>
      </c>
      <c r="L105" s="188">
        <f t="shared" si="19"/>
        <v>384.39830000000001</v>
      </c>
      <c r="M105" s="188">
        <f t="shared" si="19"/>
        <v>389.01909999999998</v>
      </c>
      <c r="N105" s="188">
        <f t="shared" si="19"/>
        <v>393.60890000000001</v>
      </c>
      <c r="O105" s="188">
        <f t="shared" si="19"/>
        <v>398.16680000000002</v>
      </c>
      <c r="P105" s="188">
        <f t="shared" si="19"/>
        <v>402.69319999999999</v>
      </c>
      <c r="Q105" s="188">
        <f t="shared" si="19"/>
        <v>407.18849999999998</v>
      </c>
      <c r="R105" s="188">
        <f t="shared" si="19"/>
        <v>411.65449999999998</v>
      </c>
      <c r="S105" s="188">
        <f t="shared" si="19"/>
        <v>416.09370000000001</v>
      </c>
      <c r="T105" s="188">
        <f t="shared" si="19"/>
        <v>420.50970000000001</v>
      </c>
      <c r="U105" s="188">
        <f t="shared" si="19"/>
        <v>424.90730000000002</v>
      </c>
      <c r="V105" s="188">
        <f t="shared" si="19"/>
        <v>429.29239999999999</v>
      </c>
      <c r="W105" s="188">
        <f t="shared" si="19"/>
        <v>433.67230000000001</v>
      </c>
      <c r="X105" s="188">
        <f t="shared" si="19"/>
        <v>438.05610000000001</v>
      </c>
      <c r="Y105" s="188">
        <f t="shared" si="19"/>
        <v>442.45420000000001</v>
      </c>
      <c r="Z105" s="188">
        <f t="shared" si="19"/>
        <v>446.8793</v>
      </c>
    </row>
    <row r="106" spans="1:26">
      <c r="C106" s="188">
        <f>C59</f>
        <v>318.73329999999999</v>
      </c>
      <c r="D106" s="188">
        <f t="shared" ref="D106:Z106" si="20">D59</f>
        <v>323.00360000000001</v>
      </c>
      <c r="E106" s="188">
        <f t="shared" si="20"/>
        <v>327.31389999999999</v>
      </c>
      <c r="F106" s="188">
        <f t="shared" si="20"/>
        <v>331.65530000000001</v>
      </c>
      <c r="G106" s="188">
        <f t="shared" si="20"/>
        <v>336.01920000000001</v>
      </c>
      <c r="H106" s="188">
        <f t="shared" si="20"/>
        <v>340.39830000000001</v>
      </c>
      <c r="I106" s="188">
        <f t="shared" si="20"/>
        <v>344.78559999999999</v>
      </c>
      <c r="J106" s="188">
        <f t="shared" si="20"/>
        <v>349.17529999999999</v>
      </c>
      <c r="K106" s="188">
        <f t="shared" si="20"/>
        <v>353.56229999999999</v>
      </c>
      <c r="L106" s="188">
        <f t="shared" si="20"/>
        <v>357.94209999999998</v>
      </c>
      <c r="M106" s="188">
        <f t="shared" si="20"/>
        <v>362.3109</v>
      </c>
      <c r="N106" s="188">
        <f t="shared" si="20"/>
        <v>366.66559999999998</v>
      </c>
      <c r="O106" s="188">
        <f t="shared" si="20"/>
        <v>371.00360000000001</v>
      </c>
      <c r="P106" s="188">
        <f t="shared" si="20"/>
        <v>375.32319999999999</v>
      </c>
      <c r="Q106" s="188">
        <f t="shared" si="20"/>
        <v>379.62259999999998</v>
      </c>
      <c r="R106" s="188">
        <f t="shared" si="20"/>
        <v>383.90129999999999</v>
      </c>
      <c r="S106" s="188">
        <f t="shared" si="20"/>
        <v>388.15890000000002</v>
      </c>
      <c r="T106" s="188">
        <f t="shared" si="20"/>
        <v>392.39589999999998</v>
      </c>
      <c r="U106" s="188">
        <f t="shared" si="20"/>
        <v>396.61329999999998</v>
      </c>
      <c r="V106" s="188">
        <f t="shared" si="20"/>
        <v>400.81299999999999</v>
      </c>
      <c r="W106" s="188">
        <f t="shared" si="20"/>
        <v>404.9975</v>
      </c>
      <c r="X106" s="188">
        <f t="shared" si="20"/>
        <v>409.17009999999999</v>
      </c>
      <c r="Y106" s="188">
        <f t="shared" si="20"/>
        <v>413.33519999999999</v>
      </c>
      <c r="Z106" s="188">
        <f t="shared" si="20"/>
        <v>417.49799999999999</v>
      </c>
    </row>
    <row r="107" spans="1:26">
      <c r="A107" s="6" t="s">
        <v>782</v>
      </c>
      <c r="B107" s="6" t="s">
        <v>783</v>
      </c>
      <c r="C107" s="188">
        <f>C12</f>
        <v>-1565.1</v>
      </c>
      <c r="D107" s="188">
        <f t="shared" ref="D107:Z107" si="21">D12</f>
        <v>-1547.4</v>
      </c>
      <c r="E107" s="188">
        <f t="shared" si="21"/>
        <v>-1529.7</v>
      </c>
      <c r="F107" s="188">
        <f t="shared" si="21"/>
        <v>-1512</v>
      </c>
      <c r="G107" s="188">
        <f t="shared" si="21"/>
        <v>-1494.3</v>
      </c>
      <c r="H107" s="188">
        <f t="shared" si="21"/>
        <v>-1476.6</v>
      </c>
      <c r="I107" s="188">
        <f t="shared" si="21"/>
        <v>-1458.9</v>
      </c>
      <c r="J107" s="188">
        <f t="shared" si="21"/>
        <v>-1441.1</v>
      </c>
      <c r="K107" s="188">
        <f t="shared" si="21"/>
        <v>-1423.4</v>
      </c>
      <c r="L107" s="188">
        <f t="shared" si="21"/>
        <v>-1405.7</v>
      </c>
      <c r="M107" s="188">
        <f t="shared" si="21"/>
        <v>-1388</v>
      </c>
      <c r="N107" s="188">
        <f t="shared" si="21"/>
        <v>-1370.3</v>
      </c>
      <c r="O107" s="188">
        <f t="shared" si="21"/>
        <v>-1352.6</v>
      </c>
      <c r="P107" s="188">
        <f t="shared" si="21"/>
        <v>-1334.9</v>
      </c>
      <c r="Q107" s="188">
        <f t="shared" si="21"/>
        <v>-1317.1</v>
      </c>
      <c r="R107" s="188">
        <f t="shared" si="21"/>
        <v>-1299.4000000000001</v>
      </c>
      <c r="S107" s="188">
        <f t="shared" si="21"/>
        <v>-1281.7</v>
      </c>
      <c r="T107" s="188">
        <f t="shared" si="21"/>
        <v>-1264</v>
      </c>
      <c r="U107" s="188">
        <f t="shared" si="21"/>
        <v>-1246.3</v>
      </c>
      <c r="V107" s="188">
        <f t="shared" si="21"/>
        <v>-1228.5999999999999</v>
      </c>
      <c r="W107" s="188">
        <f t="shared" si="21"/>
        <v>-1210.9000000000001</v>
      </c>
      <c r="X107" s="188">
        <f t="shared" si="21"/>
        <v>-1193.0999999999999</v>
      </c>
      <c r="Y107" s="188">
        <f t="shared" si="21"/>
        <v>-1175.4000000000001</v>
      </c>
      <c r="Z107" s="188">
        <f t="shared" si="21"/>
        <v>-1157.7</v>
      </c>
    </row>
    <row r="108" spans="1:26">
      <c r="A108" s="6"/>
      <c r="B108" s="6"/>
      <c r="C108" s="188">
        <f>C36</f>
        <v>-1565.1</v>
      </c>
      <c r="D108" s="188">
        <f t="shared" ref="D108:Z108" si="22">D36</f>
        <v>-1547.4</v>
      </c>
      <c r="E108" s="188">
        <f t="shared" si="22"/>
        <v>-1529.7</v>
      </c>
      <c r="F108" s="188">
        <f t="shared" si="22"/>
        <v>-1512</v>
      </c>
      <c r="G108" s="188">
        <f t="shared" si="22"/>
        <v>-1494.3</v>
      </c>
      <c r="H108" s="188">
        <f t="shared" si="22"/>
        <v>-1476.6</v>
      </c>
      <c r="I108" s="188">
        <f t="shared" si="22"/>
        <v>-1458.9</v>
      </c>
      <c r="J108" s="188">
        <f t="shared" si="22"/>
        <v>-1441.1</v>
      </c>
      <c r="K108" s="188">
        <f t="shared" si="22"/>
        <v>-1423.4</v>
      </c>
      <c r="L108" s="188">
        <f t="shared" si="22"/>
        <v>-1405.7</v>
      </c>
      <c r="M108" s="188">
        <f t="shared" si="22"/>
        <v>-1388</v>
      </c>
      <c r="N108" s="188">
        <f t="shared" si="22"/>
        <v>-1370.3</v>
      </c>
      <c r="O108" s="188">
        <f t="shared" si="22"/>
        <v>-1352.6</v>
      </c>
      <c r="P108" s="188">
        <f t="shared" si="22"/>
        <v>-1334.9</v>
      </c>
      <c r="Q108" s="188">
        <f t="shared" si="22"/>
        <v>-1317.1</v>
      </c>
      <c r="R108" s="188">
        <f t="shared" si="22"/>
        <v>-1299.4000000000001</v>
      </c>
      <c r="S108" s="188">
        <f t="shared" si="22"/>
        <v>-1281.7</v>
      </c>
      <c r="T108" s="188">
        <f t="shared" si="22"/>
        <v>-1264</v>
      </c>
      <c r="U108" s="188">
        <f t="shared" si="22"/>
        <v>-1246.3</v>
      </c>
      <c r="V108" s="188">
        <f t="shared" si="22"/>
        <v>-1228.5999999999999</v>
      </c>
      <c r="W108" s="188">
        <f t="shared" si="22"/>
        <v>-1210.9000000000001</v>
      </c>
      <c r="X108" s="188">
        <f t="shared" si="22"/>
        <v>-1193.0999999999999</v>
      </c>
      <c r="Y108" s="188">
        <f t="shared" si="22"/>
        <v>-1175.4000000000001</v>
      </c>
      <c r="Z108" s="188">
        <f t="shared" si="22"/>
        <v>-1157.7</v>
      </c>
    </row>
    <row r="109" spans="1:26">
      <c r="A109" s="6"/>
      <c r="B109" s="6"/>
      <c r="C109" s="188">
        <f>C60</f>
        <v>-1565.1</v>
      </c>
      <c r="D109" s="188">
        <f t="shared" ref="D109:Z109" si="23">D60</f>
        <v>-1547.4</v>
      </c>
      <c r="E109" s="188">
        <f t="shared" si="23"/>
        <v>-1529.7</v>
      </c>
      <c r="F109" s="188">
        <f t="shared" si="23"/>
        <v>-1512</v>
      </c>
      <c r="G109" s="188">
        <f t="shared" si="23"/>
        <v>-1494.3</v>
      </c>
      <c r="H109" s="188">
        <f t="shared" si="23"/>
        <v>-1476.6</v>
      </c>
      <c r="I109" s="188">
        <f t="shared" si="23"/>
        <v>-1458.9</v>
      </c>
      <c r="J109" s="188">
        <f t="shared" si="23"/>
        <v>-1441.1</v>
      </c>
      <c r="K109" s="188">
        <f t="shared" si="23"/>
        <v>-1423.4</v>
      </c>
      <c r="L109" s="188">
        <f t="shared" si="23"/>
        <v>-1405.7</v>
      </c>
      <c r="M109" s="188">
        <f t="shared" si="23"/>
        <v>-1388</v>
      </c>
      <c r="N109" s="188">
        <f t="shared" si="23"/>
        <v>-1370.3</v>
      </c>
      <c r="O109" s="188">
        <f t="shared" si="23"/>
        <v>-1352.6</v>
      </c>
      <c r="P109" s="188">
        <f t="shared" si="23"/>
        <v>-1334.9</v>
      </c>
      <c r="Q109" s="188">
        <f t="shared" si="23"/>
        <v>-1317.1</v>
      </c>
      <c r="R109" s="188">
        <f t="shared" si="23"/>
        <v>-1299.4000000000001</v>
      </c>
      <c r="S109" s="188">
        <f t="shared" si="23"/>
        <v>-1281.7</v>
      </c>
      <c r="T109" s="188">
        <f t="shared" si="23"/>
        <v>-1264</v>
      </c>
      <c r="U109" s="188">
        <f t="shared" si="23"/>
        <v>-1246.3</v>
      </c>
      <c r="V109" s="188">
        <f t="shared" si="23"/>
        <v>-1228.5999999999999</v>
      </c>
      <c r="W109" s="188">
        <f t="shared" si="23"/>
        <v>-1210.9000000000001</v>
      </c>
      <c r="X109" s="188">
        <f t="shared" si="23"/>
        <v>-1193.0999999999999</v>
      </c>
      <c r="Y109" s="188">
        <f t="shared" si="23"/>
        <v>-1175.4000000000001</v>
      </c>
      <c r="Z109" s="188">
        <f t="shared" si="23"/>
        <v>-1157.7</v>
      </c>
    </row>
    <row r="110" spans="1:26">
      <c r="A110" s="6" t="s">
        <v>784</v>
      </c>
      <c r="B110" s="6"/>
      <c r="C110" s="188">
        <f>C13</f>
        <v>0.23596149999999999</v>
      </c>
      <c r="D110" s="188">
        <f t="shared" ref="D110:Z110" si="24">D13</f>
        <v>0.24905089999999999</v>
      </c>
      <c r="E110" s="188">
        <f t="shared" si="24"/>
        <v>0.26238719999999999</v>
      </c>
      <c r="F110" s="188">
        <f t="shared" si="24"/>
        <v>0.27600150000000001</v>
      </c>
      <c r="G110" s="188">
        <f t="shared" si="24"/>
        <v>0.2899292</v>
      </c>
      <c r="H110" s="188">
        <f t="shared" si="24"/>
        <v>0.30421019999999999</v>
      </c>
      <c r="I110" s="188">
        <f t="shared" si="24"/>
        <v>0.31888860000000002</v>
      </c>
      <c r="J110" s="188">
        <f t="shared" si="24"/>
        <v>0.3340128</v>
      </c>
      <c r="K110" s="188">
        <f t="shared" si="24"/>
        <v>0.34963569999999999</v>
      </c>
      <c r="L110" s="188">
        <f t="shared" si="24"/>
        <v>0.36581399999999997</v>
      </c>
      <c r="M110" s="188">
        <f t="shared" si="24"/>
        <v>0.38260899999999998</v>
      </c>
      <c r="N110" s="188">
        <f t="shared" si="24"/>
        <v>0.40008389999999999</v>
      </c>
      <c r="O110" s="188">
        <f t="shared" si="24"/>
        <v>0.41830460000000003</v>
      </c>
      <c r="P110" s="188">
        <f t="shared" si="24"/>
        <v>0.43733820000000001</v>
      </c>
      <c r="Q110" s="188">
        <f t="shared" si="24"/>
        <v>0.45724989999999999</v>
      </c>
      <c r="R110" s="188">
        <f t="shared" si="24"/>
        <v>0.4781029</v>
      </c>
      <c r="S110" s="188">
        <f t="shared" si="24"/>
        <v>0.49995469999999997</v>
      </c>
      <c r="T110" s="188">
        <f t="shared" si="24"/>
        <v>0.52285459999999995</v>
      </c>
      <c r="U110" s="188">
        <f t="shared" si="24"/>
        <v>0.54684029999999995</v>
      </c>
      <c r="V110" s="188">
        <f t="shared" si="24"/>
        <v>0.57193439999999995</v>
      </c>
      <c r="W110" s="188">
        <f t="shared" si="24"/>
        <v>0.59813989999999995</v>
      </c>
      <c r="X110" s="188">
        <f t="shared" si="24"/>
        <v>0.62543570000000004</v>
      </c>
      <c r="Y110" s="188">
        <f t="shared" si="24"/>
        <v>0.65377130000000006</v>
      </c>
      <c r="Z110" s="188">
        <f t="shared" si="24"/>
        <v>0.6830619</v>
      </c>
    </row>
    <row r="111" spans="1:26">
      <c r="A111" s="6"/>
      <c r="B111" s="6"/>
      <c r="C111" s="188">
        <f>C37</f>
        <v>0.16322</v>
      </c>
      <c r="D111" s="188">
        <f t="shared" ref="D111:Z111" si="25">D37</f>
        <v>0.1747716</v>
      </c>
      <c r="E111" s="188">
        <f t="shared" si="25"/>
        <v>0.1865463</v>
      </c>
      <c r="F111" s="188">
        <f t="shared" si="25"/>
        <v>0.19854869999999999</v>
      </c>
      <c r="G111" s="188">
        <f t="shared" si="25"/>
        <v>0.2107888</v>
      </c>
      <c r="H111" s="188">
        <f t="shared" si="25"/>
        <v>0.22328139999999999</v>
      </c>
      <c r="I111" s="188">
        <f t="shared" si="25"/>
        <v>0.23604549999999999</v>
      </c>
      <c r="J111" s="188">
        <f t="shared" si="25"/>
        <v>0.24910470000000001</v>
      </c>
      <c r="K111" s="188">
        <f t="shared" si="25"/>
        <v>0.26248589999999999</v>
      </c>
      <c r="L111" s="188">
        <f t="shared" si="25"/>
        <v>0.27622049999999998</v>
      </c>
      <c r="M111" s="188">
        <f t="shared" si="25"/>
        <v>0.29034280000000001</v>
      </c>
      <c r="N111" s="188">
        <f t="shared" si="25"/>
        <v>0.30489080000000002</v>
      </c>
      <c r="O111" s="188">
        <f t="shared" si="25"/>
        <v>0.31990590000000002</v>
      </c>
      <c r="P111" s="188">
        <f t="shared" si="25"/>
        <v>0.33543299999999998</v>
      </c>
      <c r="Q111" s="188">
        <f t="shared" si="25"/>
        <v>0.35151900000000003</v>
      </c>
      <c r="R111" s="188">
        <f t="shared" si="25"/>
        <v>0.36821379999999998</v>
      </c>
      <c r="S111" s="188">
        <f t="shared" si="25"/>
        <v>0.38556970000000002</v>
      </c>
      <c r="T111" s="188">
        <f t="shared" si="25"/>
        <v>0.4036399</v>
      </c>
      <c r="U111" s="188">
        <f t="shared" si="25"/>
        <v>0.42247869999999998</v>
      </c>
      <c r="V111" s="188">
        <f t="shared" si="25"/>
        <v>0.44213989999999997</v>
      </c>
      <c r="W111" s="188">
        <f t="shared" si="25"/>
        <v>0.46267599999999998</v>
      </c>
      <c r="X111" s="188">
        <f t="shared" si="25"/>
        <v>0.48413630000000002</v>
      </c>
      <c r="Y111" s="188">
        <f t="shared" si="25"/>
        <v>0.50656570000000001</v>
      </c>
      <c r="Z111" s="188">
        <f t="shared" si="25"/>
        <v>0.53000239999999998</v>
      </c>
    </row>
    <row r="112" spans="1:26">
      <c r="A112" s="6"/>
      <c r="B112" s="6"/>
      <c r="C112" s="188">
        <f>C61</f>
        <v>0.1187568</v>
      </c>
      <c r="D112" s="188">
        <f t="shared" ref="D112:Z112" si="26">D61</f>
        <v>0.1290811</v>
      </c>
      <c r="E112" s="188">
        <f t="shared" si="26"/>
        <v>0.13969100000000001</v>
      </c>
      <c r="F112" s="188">
        <f t="shared" si="26"/>
        <v>0.15057470000000001</v>
      </c>
      <c r="G112" s="188">
        <f t="shared" si="26"/>
        <v>0.1617258</v>
      </c>
      <c r="H112" s="188">
        <f t="shared" si="26"/>
        <v>0.1731424</v>
      </c>
      <c r="I112" s="188">
        <f t="shared" si="26"/>
        <v>0.18482789999999999</v>
      </c>
      <c r="J112" s="188">
        <f t="shared" si="26"/>
        <v>0.1967903</v>
      </c>
      <c r="K112" s="188">
        <f t="shared" si="26"/>
        <v>0.2090418</v>
      </c>
      <c r="L112" s="188">
        <f t="shared" si="26"/>
        <v>0.2215992</v>
      </c>
      <c r="M112" s="188">
        <f t="shared" si="26"/>
        <v>0.23448269999999999</v>
      </c>
      <c r="N112" s="188">
        <f t="shared" si="26"/>
        <v>0.24771670000000001</v>
      </c>
      <c r="O112" s="188">
        <f t="shared" si="26"/>
        <v>0.26132870000000002</v>
      </c>
      <c r="P112" s="188">
        <f t="shared" si="26"/>
        <v>0.2753504</v>
      </c>
      <c r="Q112" s="188">
        <f t="shared" si="26"/>
        <v>0.2898153</v>
      </c>
      <c r="R112" s="188">
        <f t="shared" si="26"/>
        <v>0.30476120000000001</v>
      </c>
      <c r="S112" s="188">
        <f t="shared" si="26"/>
        <v>0.32022800000000001</v>
      </c>
      <c r="T112" s="188">
        <f t="shared" si="26"/>
        <v>0.33625870000000002</v>
      </c>
      <c r="U112" s="188">
        <f t="shared" si="26"/>
        <v>0.3528983</v>
      </c>
      <c r="V112" s="188">
        <f t="shared" si="26"/>
        <v>0.37019410000000003</v>
      </c>
      <c r="W112" s="188">
        <f t="shared" si="26"/>
        <v>0.3881946</v>
      </c>
      <c r="X112" s="188">
        <f t="shared" si="26"/>
        <v>0.40694950000000002</v>
      </c>
      <c r="Y112" s="188">
        <f t="shared" si="26"/>
        <v>0.42650890000000002</v>
      </c>
      <c r="Z112" s="188">
        <f t="shared" si="26"/>
        <v>0.44692219999999999</v>
      </c>
    </row>
    <row r="113" spans="1:26">
      <c r="A113" t="s">
        <v>785</v>
      </c>
      <c r="B113" t="s">
        <v>102</v>
      </c>
      <c r="C113" s="188">
        <f>C14</f>
        <v>7.08</v>
      </c>
      <c r="D113" s="188">
        <f t="shared" ref="D113:Z113" si="27">D14</f>
        <v>7.15</v>
      </c>
      <c r="E113" s="188">
        <f t="shared" si="27"/>
        <v>7.23</v>
      </c>
      <c r="F113" s="188">
        <f t="shared" si="27"/>
        <v>7.3</v>
      </c>
      <c r="G113" s="188">
        <f t="shared" si="27"/>
        <v>7.38</v>
      </c>
      <c r="H113" s="188">
        <f t="shared" si="27"/>
        <v>7.46</v>
      </c>
      <c r="I113" s="188">
        <f t="shared" si="27"/>
        <v>7.55</v>
      </c>
      <c r="J113" s="188">
        <f t="shared" si="27"/>
        <v>7.64</v>
      </c>
      <c r="K113" s="188">
        <f t="shared" si="27"/>
        <v>7.73</v>
      </c>
      <c r="L113" s="188">
        <f t="shared" si="27"/>
        <v>7.82</v>
      </c>
      <c r="M113" s="188">
        <f t="shared" si="27"/>
        <v>7.92</v>
      </c>
      <c r="N113" s="188">
        <f t="shared" si="27"/>
        <v>8.02</v>
      </c>
      <c r="O113" s="188">
        <f t="shared" si="27"/>
        <v>8.1300000000000008</v>
      </c>
      <c r="P113" s="188">
        <f t="shared" si="27"/>
        <v>8.25</v>
      </c>
      <c r="Q113" s="188">
        <f t="shared" si="27"/>
        <v>8.3699999999999992</v>
      </c>
      <c r="R113" s="188">
        <f t="shared" si="27"/>
        <v>8.49</v>
      </c>
      <c r="S113" s="188">
        <f t="shared" si="27"/>
        <v>8.6199999999999992</v>
      </c>
      <c r="T113" s="188">
        <f t="shared" si="27"/>
        <v>8.76</v>
      </c>
      <c r="U113" s="188">
        <f t="shared" si="27"/>
        <v>8.9</v>
      </c>
      <c r="V113" s="188">
        <f t="shared" si="27"/>
        <v>9.0399999999999991</v>
      </c>
      <c r="W113" s="188">
        <f t="shared" si="27"/>
        <v>9.19</v>
      </c>
      <c r="X113" s="188">
        <f t="shared" si="27"/>
        <v>9.35</v>
      </c>
      <c r="Y113" s="188">
        <f t="shared" si="27"/>
        <v>9.5</v>
      </c>
      <c r="Z113" s="188">
        <f t="shared" si="27"/>
        <v>9.66</v>
      </c>
    </row>
    <row r="114" spans="1:26">
      <c r="C114" s="188">
        <f>C38</f>
        <v>13.39</v>
      </c>
      <c r="D114" s="188">
        <f t="shared" ref="D114:Z114" si="28">D38</f>
        <v>13.56</v>
      </c>
      <c r="E114" s="188">
        <f t="shared" si="28"/>
        <v>13.73</v>
      </c>
      <c r="F114" s="188">
        <f t="shared" si="28"/>
        <v>13.9</v>
      </c>
      <c r="G114" s="188">
        <f t="shared" si="28"/>
        <v>14.07</v>
      </c>
      <c r="H114" s="188">
        <f t="shared" si="28"/>
        <v>14.23</v>
      </c>
      <c r="I114" s="188">
        <f t="shared" si="28"/>
        <v>14.4</v>
      </c>
      <c r="J114" s="188">
        <f t="shared" si="28"/>
        <v>14.57</v>
      </c>
      <c r="K114" s="188">
        <f t="shared" si="28"/>
        <v>14.74</v>
      </c>
      <c r="L114" s="188">
        <f t="shared" si="28"/>
        <v>14.91</v>
      </c>
      <c r="M114" s="188">
        <f t="shared" si="28"/>
        <v>15.09</v>
      </c>
      <c r="N114" s="188">
        <f t="shared" si="28"/>
        <v>15.28</v>
      </c>
      <c r="O114" s="188">
        <f t="shared" si="28"/>
        <v>15.47</v>
      </c>
      <c r="P114" s="188">
        <f t="shared" si="28"/>
        <v>15.67</v>
      </c>
      <c r="Q114" s="188">
        <f t="shared" si="28"/>
        <v>15.87</v>
      </c>
      <c r="R114" s="188">
        <f t="shared" si="28"/>
        <v>16.09</v>
      </c>
      <c r="S114" s="188">
        <f t="shared" si="28"/>
        <v>16.309999999999999</v>
      </c>
      <c r="T114" s="188">
        <f t="shared" si="28"/>
        <v>16.54</v>
      </c>
      <c r="U114" s="188">
        <f t="shared" si="28"/>
        <v>16.78</v>
      </c>
      <c r="V114" s="188">
        <f t="shared" si="28"/>
        <v>17.04</v>
      </c>
      <c r="W114" s="188">
        <f t="shared" si="28"/>
        <v>17.3</v>
      </c>
      <c r="X114" s="188">
        <f t="shared" si="28"/>
        <v>17.57</v>
      </c>
      <c r="Y114" s="188">
        <f t="shared" si="28"/>
        <v>17.850000000000001</v>
      </c>
      <c r="Z114" s="188">
        <f t="shared" si="28"/>
        <v>18.14</v>
      </c>
    </row>
    <row r="115" spans="1:26">
      <c r="C115" s="188">
        <f>C62</f>
        <v>19.09</v>
      </c>
      <c r="D115" s="188">
        <f t="shared" ref="D115:Z115" si="29">D62</f>
        <v>19.38</v>
      </c>
      <c r="E115" s="188">
        <f t="shared" si="29"/>
        <v>19.670000000000002</v>
      </c>
      <c r="F115" s="188">
        <f t="shared" si="29"/>
        <v>19.95</v>
      </c>
      <c r="G115" s="188">
        <f t="shared" si="29"/>
        <v>20.22</v>
      </c>
      <c r="H115" s="188">
        <f t="shared" si="29"/>
        <v>20.49</v>
      </c>
      <c r="I115" s="188">
        <f t="shared" si="29"/>
        <v>20.76</v>
      </c>
      <c r="J115" s="188">
        <f t="shared" si="29"/>
        <v>21.02</v>
      </c>
      <c r="K115" s="188">
        <f t="shared" si="29"/>
        <v>21.29</v>
      </c>
      <c r="L115" s="188">
        <f t="shared" si="29"/>
        <v>21.56</v>
      </c>
      <c r="M115" s="188">
        <f t="shared" si="29"/>
        <v>21.83</v>
      </c>
      <c r="N115" s="188">
        <f t="shared" si="29"/>
        <v>22.11</v>
      </c>
      <c r="O115" s="188">
        <f t="shared" si="29"/>
        <v>22.39</v>
      </c>
      <c r="P115" s="188">
        <f t="shared" si="29"/>
        <v>22.68</v>
      </c>
      <c r="Q115" s="188">
        <f t="shared" si="29"/>
        <v>22.97</v>
      </c>
      <c r="R115" s="188">
        <f t="shared" si="29"/>
        <v>23.28</v>
      </c>
      <c r="S115" s="188">
        <f t="shared" si="29"/>
        <v>23.59</v>
      </c>
      <c r="T115" s="188">
        <f t="shared" si="29"/>
        <v>23.92</v>
      </c>
      <c r="U115" s="188">
        <f t="shared" si="29"/>
        <v>24.26</v>
      </c>
      <c r="V115" s="188">
        <f t="shared" si="29"/>
        <v>24.61</v>
      </c>
      <c r="W115" s="188">
        <f t="shared" si="29"/>
        <v>24.97</v>
      </c>
      <c r="X115" s="188">
        <f t="shared" si="29"/>
        <v>25.35</v>
      </c>
      <c r="Y115" s="188">
        <f t="shared" si="29"/>
        <v>25.74</v>
      </c>
      <c r="Z115" s="188">
        <f t="shared" si="29"/>
        <v>26.14</v>
      </c>
    </row>
    <row r="116" spans="1:26">
      <c r="A116" t="s">
        <v>786</v>
      </c>
      <c r="B116" t="s">
        <v>774</v>
      </c>
      <c r="C116" s="188">
        <f>C15</f>
        <v>2.5019999999999998</v>
      </c>
      <c r="D116" s="188">
        <f t="shared" ref="D116:Z116" si="30">D15</f>
        <v>2.52</v>
      </c>
      <c r="E116" s="188">
        <f t="shared" si="30"/>
        <v>2.5379999999999998</v>
      </c>
      <c r="F116" s="188">
        <f t="shared" si="30"/>
        <v>2.5550000000000002</v>
      </c>
      <c r="G116" s="188">
        <f t="shared" si="30"/>
        <v>2.573</v>
      </c>
      <c r="H116" s="188">
        <f t="shared" si="30"/>
        <v>2.59</v>
      </c>
      <c r="I116" s="188">
        <f t="shared" si="30"/>
        <v>2.6070000000000002</v>
      </c>
      <c r="J116" s="188">
        <f t="shared" si="30"/>
        <v>2.6240000000000001</v>
      </c>
      <c r="K116" s="188">
        <f t="shared" si="30"/>
        <v>2.641</v>
      </c>
      <c r="L116" s="188">
        <f t="shared" si="30"/>
        <v>2.657</v>
      </c>
      <c r="M116" s="188">
        <f t="shared" si="30"/>
        <v>2.673</v>
      </c>
      <c r="N116" s="188">
        <f t="shared" si="30"/>
        <v>2.6890000000000001</v>
      </c>
      <c r="O116" s="188">
        <f t="shared" si="30"/>
        <v>2.7040000000000002</v>
      </c>
      <c r="P116" s="188">
        <f t="shared" si="30"/>
        <v>2.72</v>
      </c>
      <c r="Q116" s="188">
        <f t="shared" si="30"/>
        <v>2.7349999999999999</v>
      </c>
      <c r="R116" s="188">
        <f t="shared" si="30"/>
        <v>2.7490000000000001</v>
      </c>
      <c r="S116" s="188">
        <f t="shared" si="30"/>
        <v>2.7639999999999998</v>
      </c>
      <c r="T116" s="188">
        <f t="shared" si="30"/>
        <v>2.778</v>
      </c>
      <c r="U116" s="188">
        <f t="shared" si="30"/>
        <v>2.7919999999999998</v>
      </c>
      <c r="V116" s="188">
        <f t="shared" si="30"/>
        <v>2.8050000000000002</v>
      </c>
      <c r="W116" s="188">
        <f t="shared" si="30"/>
        <v>2.8180000000000001</v>
      </c>
      <c r="X116" s="188">
        <f t="shared" si="30"/>
        <v>2.831</v>
      </c>
      <c r="Y116" s="188">
        <f t="shared" si="30"/>
        <v>2.8439999999999999</v>
      </c>
      <c r="Z116" s="188">
        <f t="shared" si="30"/>
        <v>2.8570000000000002</v>
      </c>
    </row>
    <row r="117" spans="1:26">
      <c r="C117" s="188">
        <f>C39</f>
        <v>2.5720000000000001</v>
      </c>
      <c r="D117" s="188">
        <f t="shared" ref="D117:Z117" si="31">D39</f>
        <v>2.5870000000000002</v>
      </c>
      <c r="E117" s="188">
        <f t="shared" si="31"/>
        <v>2.6030000000000002</v>
      </c>
      <c r="F117" s="188">
        <f t="shared" si="31"/>
        <v>2.6190000000000002</v>
      </c>
      <c r="G117" s="188">
        <f t="shared" si="31"/>
        <v>2.6339999999999999</v>
      </c>
      <c r="H117" s="188">
        <f t="shared" si="31"/>
        <v>2.65</v>
      </c>
      <c r="I117" s="188">
        <f t="shared" si="31"/>
        <v>2.6659999999999999</v>
      </c>
      <c r="J117" s="188">
        <f t="shared" si="31"/>
        <v>2.681</v>
      </c>
      <c r="K117" s="188">
        <f t="shared" si="31"/>
        <v>2.6970000000000001</v>
      </c>
      <c r="L117" s="188">
        <f t="shared" si="31"/>
        <v>2.7120000000000002</v>
      </c>
      <c r="M117" s="188">
        <f t="shared" si="31"/>
        <v>2.7269999999999999</v>
      </c>
      <c r="N117" s="188">
        <f t="shared" si="31"/>
        <v>2.742</v>
      </c>
      <c r="O117" s="188">
        <f t="shared" si="31"/>
        <v>2.7570000000000001</v>
      </c>
      <c r="P117" s="188">
        <f t="shared" si="31"/>
        <v>2.7719999999999998</v>
      </c>
      <c r="Q117" s="188">
        <f t="shared" si="31"/>
        <v>2.7869999999999999</v>
      </c>
      <c r="R117" s="188">
        <f t="shared" si="31"/>
        <v>2.8010000000000002</v>
      </c>
      <c r="S117" s="188">
        <f t="shared" si="31"/>
        <v>2.8149999999999999</v>
      </c>
      <c r="T117" s="188">
        <f t="shared" si="31"/>
        <v>2.8290000000000002</v>
      </c>
      <c r="U117" s="188">
        <f t="shared" si="31"/>
        <v>2.843</v>
      </c>
      <c r="V117" s="188">
        <f t="shared" si="31"/>
        <v>2.8559999999999999</v>
      </c>
      <c r="W117" s="188">
        <f t="shared" si="31"/>
        <v>2.87</v>
      </c>
      <c r="X117" s="188">
        <f t="shared" si="31"/>
        <v>2.883</v>
      </c>
      <c r="Y117" s="188">
        <f t="shared" si="31"/>
        <v>2.8959999999999999</v>
      </c>
      <c r="Z117" s="188">
        <f t="shared" si="31"/>
        <v>2.9079999999999999</v>
      </c>
    </row>
    <row r="118" spans="1:26">
      <c r="C118" s="188">
        <f>C63</f>
        <v>2.6259999999999999</v>
      </c>
      <c r="D118" s="188">
        <f t="shared" ref="D118:Z118" si="32">D63</f>
        <v>2.64</v>
      </c>
      <c r="E118" s="188">
        <f t="shared" si="32"/>
        <v>2.6539999999999999</v>
      </c>
      <c r="F118" s="188">
        <f t="shared" si="32"/>
        <v>2.6680000000000001</v>
      </c>
      <c r="G118" s="188">
        <f t="shared" si="32"/>
        <v>2.6819999999999999</v>
      </c>
      <c r="H118" s="188">
        <f t="shared" si="32"/>
        <v>2.6970000000000001</v>
      </c>
      <c r="I118" s="188">
        <f t="shared" si="32"/>
        <v>2.7109999999999999</v>
      </c>
      <c r="J118" s="188">
        <f t="shared" si="32"/>
        <v>2.7250000000000001</v>
      </c>
      <c r="K118" s="188">
        <f t="shared" si="32"/>
        <v>2.74</v>
      </c>
      <c r="L118" s="188">
        <f t="shared" si="32"/>
        <v>2.754</v>
      </c>
      <c r="M118" s="188">
        <f t="shared" si="32"/>
        <v>2.7679999999999998</v>
      </c>
      <c r="N118" s="188">
        <f t="shared" si="32"/>
        <v>2.7829999999999999</v>
      </c>
      <c r="O118" s="188">
        <f t="shared" si="32"/>
        <v>2.7970000000000002</v>
      </c>
      <c r="P118" s="188">
        <f t="shared" si="32"/>
        <v>2.8109999999999999</v>
      </c>
      <c r="Q118" s="188">
        <f t="shared" si="32"/>
        <v>2.8250000000000002</v>
      </c>
      <c r="R118" s="188">
        <f t="shared" si="32"/>
        <v>2.839</v>
      </c>
      <c r="S118" s="188">
        <f t="shared" si="32"/>
        <v>2.8519999999999999</v>
      </c>
      <c r="T118" s="188">
        <f t="shared" si="32"/>
        <v>2.8660000000000001</v>
      </c>
      <c r="U118" s="188">
        <f t="shared" si="32"/>
        <v>2.879</v>
      </c>
      <c r="V118" s="188">
        <f t="shared" si="32"/>
        <v>2.8919999999999999</v>
      </c>
      <c r="W118" s="188">
        <f t="shared" si="32"/>
        <v>2.9049999999999998</v>
      </c>
      <c r="X118" s="188">
        <f t="shared" si="32"/>
        <v>2.9180000000000001</v>
      </c>
      <c r="Y118" s="188">
        <f t="shared" si="32"/>
        <v>2.931</v>
      </c>
      <c r="Z118" s="188">
        <f t="shared" si="32"/>
        <v>2.944</v>
      </c>
    </row>
    <row r="119" spans="1:26">
      <c r="A119" t="s">
        <v>787</v>
      </c>
      <c r="B119" t="s">
        <v>776</v>
      </c>
      <c r="C119" s="188">
        <f>C16</f>
        <v>1.3299999999999999E-2</v>
      </c>
      <c r="D119" s="188">
        <f t="shared" ref="D119:Z119" si="33">D16</f>
        <v>1.34E-2</v>
      </c>
      <c r="E119" s="188">
        <f t="shared" si="33"/>
        <v>1.35E-2</v>
      </c>
      <c r="F119" s="188">
        <f t="shared" si="33"/>
        <v>1.35E-2</v>
      </c>
      <c r="G119" s="188">
        <f t="shared" si="33"/>
        <v>1.3599999999999999E-2</v>
      </c>
      <c r="H119" s="188">
        <f t="shared" si="33"/>
        <v>1.37E-2</v>
      </c>
      <c r="I119" s="188">
        <f t="shared" si="33"/>
        <v>1.37E-2</v>
      </c>
      <c r="J119" s="188">
        <f t="shared" si="33"/>
        <v>1.38E-2</v>
      </c>
      <c r="K119" s="188">
        <f t="shared" si="33"/>
        <v>1.3899999999999999E-2</v>
      </c>
      <c r="L119" s="188">
        <f t="shared" si="33"/>
        <v>1.3899999999999999E-2</v>
      </c>
      <c r="M119" s="188">
        <f t="shared" si="33"/>
        <v>1.4E-2</v>
      </c>
      <c r="N119" s="188">
        <f t="shared" si="33"/>
        <v>1.4E-2</v>
      </c>
      <c r="O119" s="188">
        <f t="shared" si="33"/>
        <v>1.41E-2</v>
      </c>
      <c r="P119" s="188">
        <f t="shared" si="33"/>
        <v>1.41E-2</v>
      </c>
      <c r="Q119" s="188">
        <f t="shared" si="33"/>
        <v>1.4200000000000001E-2</v>
      </c>
      <c r="R119" s="188">
        <f t="shared" si="33"/>
        <v>1.4200000000000001E-2</v>
      </c>
      <c r="S119" s="188">
        <f t="shared" si="33"/>
        <v>1.43E-2</v>
      </c>
      <c r="T119" s="188">
        <f t="shared" si="33"/>
        <v>1.43E-2</v>
      </c>
      <c r="U119" s="188">
        <f t="shared" si="33"/>
        <v>1.43E-2</v>
      </c>
      <c r="V119" s="188">
        <f t="shared" si="33"/>
        <v>1.44E-2</v>
      </c>
      <c r="W119" s="188">
        <f t="shared" si="33"/>
        <v>1.44E-2</v>
      </c>
      <c r="X119" s="188">
        <f t="shared" si="33"/>
        <v>1.44E-2</v>
      </c>
      <c r="Y119" s="188">
        <f t="shared" si="33"/>
        <v>1.44E-2</v>
      </c>
      <c r="Z119" s="188">
        <f t="shared" si="33"/>
        <v>1.44E-2</v>
      </c>
    </row>
    <row r="120" spans="1:26">
      <c r="C120" s="188">
        <f>C40</f>
        <v>1.43E-2</v>
      </c>
      <c r="D120" s="188">
        <f t="shared" ref="D120:Z120" si="34">D40</f>
        <v>1.44E-2</v>
      </c>
      <c r="E120" s="188">
        <f t="shared" si="34"/>
        <v>1.44E-2</v>
      </c>
      <c r="F120" s="188">
        <f t="shared" si="34"/>
        <v>1.4500000000000001E-2</v>
      </c>
      <c r="G120" s="188">
        <f t="shared" si="34"/>
        <v>1.46E-2</v>
      </c>
      <c r="H120" s="188">
        <f t="shared" si="34"/>
        <v>1.46E-2</v>
      </c>
      <c r="I120" s="188">
        <f t="shared" si="34"/>
        <v>1.47E-2</v>
      </c>
      <c r="J120" s="188">
        <f t="shared" si="34"/>
        <v>1.47E-2</v>
      </c>
      <c r="K120" s="188">
        <f t="shared" si="34"/>
        <v>1.4800000000000001E-2</v>
      </c>
      <c r="L120" s="188">
        <f t="shared" si="34"/>
        <v>1.49E-2</v>
      </c>
      <c r="M120" s="188">
        <f t="shared" si="34"/>
        <v>1.49E-2</v>
      </c>
      <c r="N120" s="188">
        <f t="shared" si="34"/>
        <v>1.4999999999999999E-2</v>
      </c>
      <c r="O120" s="188">
        <f t="shared" si="34"/>
        <v>1.5100000000000001E-2</v>
      </c>
      <c r="P120" s="188">
        <f t="shared" si="34"/>
        <v>1.5100000000000001E-2</v>
      </c>
      <c r="Q120" s="188">
        <f t="shared" si="34"/>
        <v>1.52E-2</v>
      </c>
      <c r="R120" s="188">
        <f t="shared" si="34"/>
        <v>1.52E-2</v>
      </c>
      <c r="S120" s="188">
        <f t="shared" si="34"/>
        <v>1.5299999999999999E-2</v>
      </c>
      <c r="T120" s="188">
        <f t="shared" si="34"/>
        <v>1.54E-2</v>
      </c>
      <c r="U120" s="188">
        <f t="shared" si="34"/>
        <v>1.54E-2</v>
      </c>
      <c r="V120" s="188">
        <f t="shared" si="34"/>
        <v>1.55E-2</v>
      </c>
      <c r="W120" s="188">
        <f t="shared" si="34"/>
        <v>1.55E-2</v>
      </c>
      <c r="X120" s="188">
        <f t="shared" si="34"/>
        <v>1.55E-2</v>
      </c>
      <c r="Y120" s="188">
        <f t="shared" si="34"/>
        <v>1.5599999999999999E-2</v>
      </c>
      <c r="Z120" s="188">
        <f t="shared" si="34"/>
        <v>1.5599999999999999E-2</v>
      </c>
    </row>
    <row r="121" spans="1:26">
      <c r="C121" s="188">
        <f>C64</f>
        <v>1.5100000000000001E-2</v>
      </c>
      <c r="D121" s="188">
        <f t="shared" ref="D121:Z121" si="35">D64</f>
        <v>1.52E-2</v>
      </c>
      <c r="E121" s="188">
        <f t="shared" si="35"/>
        <v>1.52E-2</v>
      </c>
      <c r="F121" s="188">
        <f t="shared" si="35"/>
        <v>1.5299999999999999E-2</v>
      </c>
      <c r="G121" s="188">
        <f t="shared" si="35"/>
        <v>1.5299999999999999E-2</v>
      </c>
      <c r="H121" s="188">
        <f t="shared" si="35"/>
        <v>1.54E-2</v>
      </c>
      <c r="I121" s="188">
        <f t="shared" si="35"/>
        <v>1.54E-2</v>
      </c>
      <c r="J121" s="188">
        <f t="shared" si="35"/>
        <v>1.55E-2</v>
      </c>
      <c r="K121" s="188">
        <f t="shared" si="35"/>
        <v>1.55E-2</v>
      </c>
      <c r="L121" s="188">
        <f t="shared" si="35"/>
        <v>1.5599999999999999E-2</v>
      </c>
      <c r="M121" s="188">
        <f t="shared" si="35"/>
        <v>1.5699999999999999E-2</v>
      </c>
      <c r="N121" s="188">
        <f t="shared" si="35"/>
        <v>1.5699999999999999E-2</v>
      </c>
      <c r="O121" s="188">
        <f t="shared" si="35"/>
        <v>1.5800000000000002E-2</v>
      </c>
      <c r="P121" s="188">
        <f t="shared" si="35"/>
        <v>1.5800000000000002E-2</v>
      </c>
      <c r="Q121" s="188">
        <f t="shared" si="35"/>
        <v>1.5900000000000001E-2</v>
      </c>
      <c r="R121" s="188">
        <f t="shared" si="35"/>
        <v>1.6E-2</v>
      </c>
      <c r="S121" s="188">
        <f t="shared" si="35"/>
        <v>1.6E-2</v>
      </c>
      <c r="T121" s="188">
        <f t="shared" si="35"/>
        <v>1.61E-2</v>
      </c>
      <c r="U121" s="188">
        <f t="shared" si="35"/>
        <v>1.6199999999999999E-2</v>
      </c>
      <c r="V121" s="188">
        <f t="shared" si="35"/>
        <v>1.6199999999999999E-2</v>
      </c>
      <c r="W121" s="188">
        <f t="shared" si="35"/>
        <v>1.6299999999999999E-2</v>
      </c>
      <c r="X121" s="188">
        <f t="shared" si="35"/>
        <v>1.6299999999999999E-2</v>
      </c>
      <c r="Y121" s="188">
        <f t="shared" si="35"/>
        <v>1.6400000000000001E-2</v>
      </c>
      <c r="Z121" s="188">
        <f t="shared" si="35"/>
        <v>1.6400000000000001E-2</v>
      </c>
    </row>
    <row r="122" spans="1:26">
      <c r="A122" t="s">
        <v>788</v>
      </c>
      <c r="B122" t="s">
        <v>778</v>
      </c>
      <c r="C122" s="188">
        <f>C17</f>
        <v>0.04</v>
      </c>
      <c r="D122" s="188">
        <f t="shared" ref="D122:Z122" si="36">D17</f>
        <v>4.0399999999999998E-2</v>
      </c>
      <c r="E122" s="188">
        <f t="shared" si="36"/>
        <v>4.0899999999999999E-2</v>
      </c>
      <c r="F122" s="188">
        <f t="shared" si="36"/>
        <v>4.1300000000000003E-2</v>
      </c>
      <c r="G122" s="188">
        <f t="shared" si="36"/>
        <v>4.1700000000000001E-2</v>
      </c>
      <c r="H122" s="188">
        <f t="shared" si="36"/>
        <v>4.2099999999999999E-2</v>
      </c>
      <c r="I122" s="188">
        <f t="shared" si="36"/>
        <v>4.2500000000000003E-2</v>
      </c>
      <c r="J122" s="188">
        <f t="shared" si="36"/>
        <v>4.2900000000000001E-2</v>
      </c>
      <c r="K122" s="188">
        <f t="shared" si="36"/>
        <v>4.3299999999999998E-2</v>
      </c>
      <c r="L122" s="188">
        <f t="shared" si="36"/>
        <v>4.36E-2</v>
      </c>
      <c r="M122" s="188">
        <f t="shared" si="36"/>
        <v>4.3999999999999997E-2</v>
      </c>
      <c r="N122" s="188">
        <f t="shared" si="36"/>
        <v>4.4299999999999999E-2</v>
      </c>
      <c r="O122" s="188">
        <f t="shared" si="36"/>
        <v>4.4699999999999997E-2</v>
      </c>
      <c r="P122" s="188">
        <f t="shared" si="36"/>
        <v>4.4999999999999998E-2</v>
      </c>
      <c r="Q122" s="188">
        <f t="shared" si="36"/>
        <v>4.53E-2</v>
      </c>
      <c r="R122" s="188">
        <f t="shared" si="36"/>
        <v>4.5600000000000002E-2</v>
      </c>
      <c r="S122" s="188">
        <f t="shared" si="36"/>
        <v>4.58E-2</v>
      </c>
      <c r="T122" s="188">
        <f t="shared" si="36"/>
        <v>4.6100000000000002E-2</v>
      </c>
      <c r="U122" s="188">
        <f t="shared" si="36"/>
        <v>4.6300000000000001E-2</v>
      </c>
      <c r="V122" s="188">
        <f t="shared" si="36"/>
        <v>4.65E-2</v>
      </c>
      <c r="W122" s="188">
        <f t="shared" si="36"/>
        <v>4.6699999999999998E-2</v>
      </c>
      <c r="X122" s="188">
        <f t="shared" si="36"/>
        <v>4.6899999999999997E-2</v>
      </c>
      <c r="Y122" s="188">
        <f t="shared" si="36"/>
        <v>4.7100000000000003E-2</v>
      </c>
      <c r="Z122" s="188">
        <f t="shared" si="36"/>
        <v>4.7300000000000002E-2</v>
      </c>
    </row>
    <row r="123" spans="1:26">
      <c r="C123" s="188">
        <f>C41</f>
        <v>4.3499999999999997E-2</v>
      </c>
      <c r="D123" s="188">
        <f t="shared" ref="D123:Z123" si="37">D41</f>
        <v>4.3799999999999999E-2</v>
      </c>
      <c r="E123" s="188">
        <f t="shared" si="37"/>
        <v>4.4200000000000003E-2</v>
      </c>
      <c r="F123" s="188">
        <f t="shared" si="37"/>
        <v>4.4499999999999998E-2</v>
      </c>
      <c r="G123" s="188">
        <f t="shared" si="37"/>
        <v>4.4900000000000002E-2</v>
      </c>
      <c r="H123" s="188">
        <f t="shared" si="37"/>
        <v>4.53E-2</v>
      </c>
      <c r="I123" s="188">
        <f t="shared" si="37"/>
        <v>4.5600000000000002E-2</v>
      </c>
      <c r="J123" s="188">
        <f t="shared" si="37"/>
        <v>4.5999999999999999E-2</v>
      </c>
      <c r="K123" s="188">
        <f t="shared" si="37"/>
        <v>4.6399999999999997E-2</v>
      </c>
      <c r="L123" s="188">
        <f t="shared" si="37"/>
        <v>4.6699999999999998E-2</v>
      </c>
      <c r="M123" s="188">
        <f t="shared" si="37"/>
        <v>4.7100000000000003E-2</v>
      </c>
      <c r="N123" s="188">
        <f t="shared" si="37"/>
        <v>4.7399999999999998E-2</v>
      </c>
      <c r="O123" s="188">
        <f t="shared" si="37"/>
        <v>4.7800000000000002E-2</v>
      </c>
      <c r="P123" s="188">
        <f t="shared" si="37"/>
        <v>4.8099999999999997E-2</v>
      </c>
      <c r="Q123" s="188">
        <f t="shared" si="37"/>
        <v>4.8399999999999999E-2</v>
      </c>
      <c r="R123" s="188">
        <f t="shared" si="37"/>
        <v>4.87E-2</v>
      </c>
      <c r="S123" s="188">
        <f t="shared" si="37"/>
        <v>4.9000000000000002E-2</v>
      </c>
      <c r="T123" s="188">
        <f t="shared" si="37"/>
        <v>4.9299999999999997E-2</v>
      </c>
      <c r="U123" s="188">
        <f t="shared" si="37"/>
        <v>4.9599999999999998E-2</v>
      </c>
      <c r="V123" s="188">
        <f t="shared" si="37"/>
        <v>4.9799999999999997E-2</v>
      </c>
      <c r="W123" s="188">
        <f t="shared" si="37"/>
        <v>5.0099999999999999E-2</v>
      </c>
      <c r="X123" s="188">
        <f t="shared" si="37"/>
        <v>5.0299999999999997E-2</v>
      </c>
      <c r="Y123" s="188">
        <f t="shared" si="37"/>
        <v>5.0500000000000003E-2</v>
      </c>
      <c r="Z123" s="188">
        <f t="shared" si="37"/>
        <v>5.0700000000000002E-2</v>
      </c>
    </row>
    <row r="124" spans="1:26">
      <c r="C124" s="188">
        <f>C65</f>
        <v>4.6199999999999998E-2</v>
      </c>
      <c r="D124" s="188">
        <f t="shared" ref="D124:Z124" si="38">D65</f>
        <v>4.6399999999999997E-2</v>
      </c>
      <c r="E124" s="188">
        <f t="shared" si="38"/>
        <v>4.6699999999999998E-2</v>
      </c>
      <c r="F124" s="188">
        <f t="shared" si="38"/>
        <v>4.7E-2</v>
      </c>
      <c r="G124" s="188">
        <f t="shared" si="38"/>
        <v>4.7300000000000002E-2</v>
      </c>
      <c r="H124" s="188">
        <f t="shared" si="38"/>
        <v>4.7600000000000003E-2</v>
      </c>
      <c r="I124" s="188">
        <f t="shared" si="38"/>
        <v>4.8000000000000001E-2</v>
      </c>
      <c r="J124" s="188">
        <f t="shared" si="38"/>
        <v>4.8300000000000003E-2</v>
      </c>
      <c r="K124" s="188">
        <f t="shared" si="38"/>
        <v>4.8599999999999997E-2</v>
      </c>
      <c r="L124" s="188">
        <f t="shared" si="38"/>
        <v>4.8899999999999999E-2</v>
      </c>
      <c r="M124" s="188">
        <f t="shared" si="38"/>
        <v>4.9299999999999997E-2</v>
      </c>
      <c r="N124" s="188">
        <f t="shared" si="38"/>
        <v>4.9599999999999998E-2</v>
      </c>
      <c r="O124" s="188">
        <f t="shared" si="38"/>
        <v>4.99E-2</v>
      </c>
      <c r="P124" s="188">
        <f t="shared" si="38"/>
        <v>5.0200000000000002E-2</v>
      </c>
      <c r="Q124" s="188">
        <f t="shared" si="38"/>
        <v>5.0500000000000003E-2</v>
      </c>
      <c r="R124" s="188">
        <f t="shared" si="38"/>
        <v>5.0799999999999998E-2</v>
      </c>
      <c r="S124" s="188">
        <f t="shared" si="38"/>
        <v>5.11E-2</v>
      </c>
      <c r="T124" s="188">
        <f t="shared" si="38"/>
        <v>5.1400000000000001E-2</v>
      </c>
      <c r="U124" s="188">
        <f t="shared" si="38"/>
        <v>5.1700000000000003E-2</v>
      </c>
      <c r="V124" s="188">
        <f t="shared" si="38"/>
        <v>5.1999999999999998E-2</v>
      </c>
      <c r="W124" s="188">
        <f t="shared" si="38"/>
        <v>5.2200000000000003E-2</v>
      </c>
      <c r="X124" s="188">
        <f t="shared" si="38"/>
        <v>5.2400000000000002E-2</v>
      </c>
      <c r="Y124" s="188">
        <f t="shared" si="38"/>
        <v>5.2699999999999997E-2</v>
      </c>
      <c r="Z124" s="188">
        <f t="shared" si="38"/>
        <v>5.2900000000000003E-2</v>
      </c>
    </row>
    <row r="125" spans="1:26">
      <c r="A125" t="s">
        <v>789</v>
      </c>
      <c r="C125" s="188">
        <f>C18</f>
        <v>122.65089999999999</v>
      </c>
      <c r="D125" s="188">
        <f t="shared" ref="D125:Z125" si="39">D18</f>
        <v>125.44159999999999</v>
      </c>
      <c r="E125" s="188">
        <f t="shared" si="39"/>
        <v>128.2619</v>
      </c>
      <c r="F125" s="188">
        <f t="shared" si="39"/>
        <v>131.12090000000001</v>
      </c>
      <c r="G125" s="188">
        <f t="shared" si="39"/>
        <v>134.0275</v>
      </c>
      <c r="H125" s="188">
        <f t="shared" si="39"/>
        <v>136.9907</v>
      </c>
      <c r="I125" s="188">
        <f t="shared" si="39"/>
        <v>140.01929999999999</v>
      </c>
      <c r="J125" s="188">
        <f t="shared" si="39"/>
        <v>143.1224</v>
      </c>
      <c r="K125" s="188">
        <f t="shared" si="39"/>
        <v>146.30860000000001</v>
      </c>
      <c r="L125" s="188">
        <f t="shared" si="39"/>
        <v>149.58629999999999</v>
      </c>
      <c r="M125" s="188">
        <f t="shared" si="39"/>
        <v>152.9639</v>
      </c>
      <c r="N125" s="188">
        <f t="shared" si="39"/>
        <v>156.4487</v>
      </c>
      <c r="O125" s="188">
        <f t="shared" si="39"/>
        <v>160.04769999999999</v>
      </c>
      <c r="P125" s="188">
        <f t="shared" si="39"/>
        <v>163.7663</v>
      </c>
      <c r="Q125" s="188">
        <f t="shared" si="39"/>
        <v>167.6088</v>
      </c>
      <c r="R125" s="188">
        <f t="shared" si="39"/>
        <v>171.57769999999999</v>
      </c>
      <c r="S125" s="188">
        <f t="shared" si="39"/>
        <v>175.67320000000001</v>
      </c>
      <c r="T125" s="188">
        <f t="shared" si="39"/>
        <v>179.89359999999999</v>
      </c>
      <c r="U125" s="188">
        <f t="shared" si="39"/>
        <v>184.23400000000001</v>
      </c>
      <c r="V125" s="188">
        <f t="shared" si="39"/>
        <v>188.68690000000001</v>
      </c>
      <c r="W125" s="188">
        <f t="shared" si="39"/>
        <v>193.24160000000001</v>
      </c>
      <c r="X125" s="188">
        <f t="shared" si="39"/>
        <v>197.88419999999999</v>
      </c>
      <c r="Y125" s="188">
        <f t="shared" si="39"/>
        <v>202.59700000000001</v>
      </c>
      <c r="Z125" s="188">
        <f t="shared" si="39"/>
        <v>207.35929999999999</v>
      </c>
    </row>
    <row r="126" spans="1:26">
      <c r="C126" s="188">
        <f>C42</f>
        <v>109.6002</v>
      </c>
      <c r="D126" s="188">
        <f t="shared" ref="D126:Z126" si="40">D42</f>
        <v>112.30929999999999</v>
      </c>
      <c r="E126" s="188">
        <f t="shared" si="40"/>
        <v>115.0128</v>
      </c>
      <c r="F126" s="188">
        <f t="shared" si="40"/>
        <v>117.7192</v>
      </c>
      <c r="G126" s="188">
        <f t="shared" si="40"/>
        <v>120.4366</v>
      </c>
      <c r="H126" s="188">
        <f t="shared" si="40"/>
        <v>123.1734</v>
      </c>
      <c r="I126" s="188">
        <f t="shared" si="40"/>
        <v>125.9376</v>
      </c>
      <c r="J126" s="188">
        <f t="shared" si="40"/>
        <v>128.73689999999999</v>
      </c>
      <c r="K126" s="188">
        <f t="shared" si="40"/>
        <v>131.57900000000001</v>
      </c>
      <c r="L126" s="188">
        <f t="shared" si="40"/>
        <v>134.4716</v>
      </c>
      <c r="M126" s="188">
        <f t="shared" si="40"/>
        <v>137.42179999999999</v>
      </c>
      <c r="N126" s="188">
        <f t="shared" si="40"/>
        <v>140.43680000000001</v>
      </c>
      <c r="O126" s="188">
        <f t="shared" si="40"/>
        <v>143.52350000000001</v>
      </c>
      <c r="P126" s="188">
        <f t="shared" si="40"/>
        <v>146.68860000000001</v>
      </c>
      <c r="Q126" s="188">
        <f t="shared" si="40"/>
        <v>149.93819999999999</v>
      </c>
      <c r="R126" s="188">
        <f t="shared" si="40"/>
        <v>153.2782</v>
      </c>
      <c r="S126" s="188">
        <f t="shared" si="40"/>
        <v>156.71369999999999</v>
      </c>
      <c r="T126" s="188">
        <f t="shared" si="40"/>
        <v>160.24930000000001</v>
      </c>
      <c r="U126" s="188">
        <f t="shared" si="40"/>
        <v>163.8888</v>
      </c>
      <c r="V126" s="188">
        <f t="shared" si="40"/>
        <v>167.63470000000001</v>
      </c>
      <c r="W126" s="188">
        <f t="shared" si="40"/>
        <v>171.48859999999999</v>
      </c>
      <c r="X126" s="188">
        <f t="shared" si="40"/>
        <v>175.45060000000001</v>
      </c>
      <c r="Y126" s="188">
        <f t="shared" si="40"/>
        <v>179.51949999999999</v>
      </c>
      <c r="Z126" s="188">
        <f t="shared" si="40"/>
        <v>183.69220000000001</v>
      </c>
    </row>
    <row r="127" spans="1:26">
      <c r="C127" s="188">
        <f>C66</f>
        <v>101.3129</v>
      </c>
      <c r="D127" s="188">
        <f t="shared" ref="D127:Z127" si="41">D66</f>
        <v>104.0394</v>
      </c>
      <c r="E127" s="188">
        <f t="shared" si="41"/>
        <v>106.747</v>
      </c>
      <c r="F127" s="188">
        <f t="shared" si="41"/>
        <v>109.4421</v>
      </c>
      <c r="G127" s="188">
        <f t="shared" si="41"/>
        <v>112.1315</v>
      </c>
      <c r="H127" s="188">
        <f t="shared" si="41"/>
        <v>114.82210000000001</v>
      </c>
      <c r="I127" s="188">
        <f t="shared" si="41"/>
        <v>117.5211</v>
      </c>
      <c r="J127" s="188">
        <f t="shared" si="41"/>
        <v>120.2358</v>
      </c>
      <c r="K127" s="188">
        <f t="shared" si="41"/>
        <v>122.97329999999999</v>
      </c>
      <c r="L127" s="188">
        <f t="shared" si="41"/>
        <v>125.7406</v>
      </c>
      <c r="M127" s="188">
        <f t="shared" si="41"/>
        <v>128.54470000000001</v>
      </c>
      <c r="N127" s="188">
        <f t="shared" si="41"/>
        <v>131.39240000000001</v>
      </c>
      <c r="O127" s="188">
        <f t="shared" si="41"/>
        <v>134.2902</v>
      </c>
      <c r="P127" s="188">
        <f t="shared" si="41"/>
        <v>137.24469999999999</v>
      </c>
      <c r="Q127" s="188">
        <f t="shared" si="41"/>
        <v>140.262</v>
      </c>
      <c r="R127" s="188">
        <f t="shared" si="41"/>
        <v>143.34790000000001</v>
      </c>
      <c r="S127" s="188">
        <f t="shared" si="41"/>
        <v>146.50810000000001</v>
      </c>
      <c r="T127" s="188">
        <f t="shared" si="41"/>
        <v>149.74789999999999</v>
      </c>
      <c r="U127" s="188">
        <f t="shared" si="41"/>
        <v>153.072</v>
      </c>
      <c r="V127" s="188">
        <f t="shared" si="41"/>
        <v>156.48480000000001</v>
      </c>
      <c r="W127" s="188">
        <f t="shared" si="41"/>
        <v>159.99</v>
      </c>
      <c r="X127" s="188">
        <f t="shared" si="41"/>
        <v>163.59059999999999</v>
      </c>
      <c r="Y127" s="188">
        <f t="shared" si="41"/>
        <v>167.28890000000001</v>
      </c>
      <c r="Z127" s="188">
        <f t="shared" si="41"/>
        <v>171.08609999999999</v>
      </c>
    </row>
    <row r="128" spans="1:26">
      <c r="A128" s="6" t="s">
        <v>790</v>
      </c>
      <c r="B128" s="6"/>
      <c r="C128" s="188">
        <f>C19</f>
        <v>0</v>
      </c>
      <c r="D128" s="188">
        <f t="shared" ref="D128:Z128" si="42">D19</f>
        <v>0</v>
      </c>
      <c r="E128" s="188">
        <f t="shared" si="42"/>
        <v>0</v>
      </c>
      <c r="F128" s="188">
        <f t="shared" si="42"/>
        <v>0</v>
      </c>
      <c r="G128" s="188">
        <f t="shared" si="42"/>
        <v>0</v>
      </c>
      <c r="H128" s="188">
        <f t="shared" si="42"/>
        <v>0</v>
      </c>
      <c r="I128" s="188">
        <f t="shared" si="42"/>
        <v>0</v>
      </c>
      <c r="J128" s="188">
        <f t="shared" si="42"/>
        <v>0</v>
      </c>
      <c r="K128" s="188">
        <f t="shared" si="42"/>
        <v>0</v>
      </c>
      <c r="L128" s="188">
        <f t="shared" si="42"/>
        <v>0</v>
      </c>
      <c r="M128" s="188">
        <f t="shared" si="42"/>
        <v>0</v>
      </c>
      <c r="N128" s="188">
        <f t="shared" si="42"/>
        <v>0</v>
      </c>
      <c r="O128" s="188">
        <f t="shared" si="42"/>
        <v>0</v>
      </c>
      <c r="P128" s="188">
        <f t="shared" si="42"/>
        <v>0</v>
      </c>
      <c r="Q128" s="188">
        <f t="shared" si="42"/>
        <v>0</v>
      </c>
      <c r="R128" s="188">
        <f t="shared" si="42"/>
        <v>0</v>
      </c>
      <c r="S128" s="188">
        <f t="shared" si="42"/>
        <v>0</v>
      </c>
      <c r="T128" s="188">
        <f t="shared" si="42"/>
        <v>0</v>
      </c>
      <c r="U128" s="188">
        <f t="shared" si="42"/>
        <v>0</v>
      </c>
      <c r="V128" s="188">
        <f t="shared" si="42"/>
        <v>0</v>
      </c>
      <c r="W128" s="188">
        <f t="shared" si="42"/>
        <v>0</v>
      </c>
      <c r="X128" s="188">
        <f t="shared" si="42"/>
        <v>0</v>
      </c>
      <c r="Y128" s="188">
        <f t="shared" si="42"/>
        <v>0</v>
      </c>
      <c r="Z128" s="188">
        <f t="shared" si="42"/>
        <v>0</v>
      </c>
    </row>
    <row r="129" spans="1:26">
      <c r="A129" s="6"/>
      <c r="B129" s="6"/>
      <c r="C129" s="188">
        <f>C43</f>
        <v>0</v>
      </c>
      <c r="D129" s="188">
        <f t="shared" ref="D129:Z129" si="43">D43</f>
        <v>0</v>
      </c>
      <c r="E129" s="188">
        <f t="shared" si="43"/>
        <v>0</v>
      </c>
      <c r="F129" s="188">
        <f t="shared" si="43"/>
        <v>0</v>
      </c>
      <c r="G129" s="188">
        <f t="shared" si="43"/>
        <v>0</v>
      </c>
      <c r="H129" s="188">
        <f t="shared" si="43"/>
        <v>0</v>
      </c>
      <c r="I129" s="188">
        <f t="shared" si="43"/>
        <v>0</v>
      </c>
      <c r="J129" s="188">
        <f t="shared" si="43"/>
        <v>0</v>
      </c>
      <c r="K129" s="188">
        <f t="shared" si="43"/>
        <v>0</v>
      </c>
      <c r="L129" s="188">
        <f t="shared" si="43"/>
        <v>0</v>
      </c>
      <c r="M129" s="188">
        <f t="shared" si="43"/>
        <v>0</v>
      </c>
      <c r="N129" s="188">
        <f t="shared" si="43"/>
        <v>0</v>
      </c>
      <c r="O129" s="188">
        <f t="shared" si="43"/>
        <v>0</v>
      </c>
      <c r="P129" s="188">
        <f t="shared" si="43"/>
        <v>0</v>
      </c>
      <c r="Q129" s="188">
        <f t="shared" si="43"/>
        <v>0</v>
      </c>
      <c r="R129" s="188">
        <f t="shared" si="43"/>
        <v>0</v>
      </c>
      <c r="S129" s="188">
        <f t="shared" si="43"/>
        <v>0</v>
      </c>
      <c r="T129" s="188">
        <f t="shared" si="43"/>
        <v>0</v>
      </c>
      <c r="U129" s="188">
        <f t="shared" si="43"/>
        <v>0</v>
      </c>
      <c r="V129" s="188">
        <f t="shared" si="43"/>
        <v>0</v>
      </c>
      <c r="W129" s="188">
        <f t="shared" si="43"/>
        <v>0</v>
      </c>
      <c r="X129" s="188">
        <f t="shared" si="43"/>
        <v>0</v>
      </c>
      <c r="Y129" s="188">
        <f t="shared" si="43"/>
        <v>0</v>
      </c>
      <c r="Z129" s="188">
        <f t="shared" si="43"/>
        <v>0</v>
      </c>
    </row>
    <row r="130" spans="1:26">
      <c r="A130" s="6"/>
      <c r="B130" s="6"/>
      <c r="C130" s="188">
        <f>C67</f>
        <v>0</v>
      </c>
      <c r="D130" s="188">
        <f t="shared" ref="D130:Z130" si="44">D67</f>
        <v>0</v>
      </c>
      <c r="E130" s="188">
        <f t="shared" si="44"/>
        <v>0</v>
      </c>
      <c r="F130" s="188">
        <f t="shared" si="44"/>
        <v>0</v>
      </c>
      <c r="G130" s="188">
        <f t="shared" si="44"/>
        <v>0</v>
      </c>
      <c r="H130" s="188">
        <f t="shared" si="44"/>
        <v>0</v>
      </c>
      <c r="I130" s="188">
        <f t="shared" si="44"/>
        <v>0</v>
      </c>
      <c r="J130" s="188">
        <f t="shared" si="44"/>
        <v>0</v>
      </c>
      <c r="K130" s="188">
        <f t="shared" si="44"/>
        <v>0</v>
      </c>
      <c r="L130" s="188">
        <f t="shared" si="44"/>
        <v>0</v>
      </c>
      <c r="M130" s="188">
        <f t="shared" si="44"/>
        <v>0</v>
      </c>
      <c r="N130" s="188">
        <f t="shared" si="44"/>
        <v>0</v>
      </c>
      <c r="O130" s="188">
        <f t="shared" si="44"/>
        <v>0</v>
      </c>
      <c r="P130" s="188">
        <f t="shared" si="44"/>
        <v>0</v>
      </c>
      <c r="Q130" s="188">
        <f t="shared" si="44"/>
        <v>0</v>
      </c>
      <c r="R130" s="188">
        <f t="shared" si="44"/>
        <v>0</v>
      </c>
      <c r="S130" s="188">
        <f t="shared" si="44"/>
        <v>0</v>
      </c>
      <c r="T130" s="188">
        <f t="shared" si="44"/>
        <v>0</v>
      </c>
      <c r="U130" s="188">
        <f t="shared" si="44"/>
        <v>0</v>
      </c>
      <c r="V130" s="188">
        <f t="shared" si="44"/>
        <v>0</v>
      </c>
      <c r="W130" s="188">
        <f t="shared" si="44"/>
        <v>0</v>
      </c>
      <c r="X130" s="188">
        <f t="shared" si="44"/>
        <v>0</v>
      </c>
      <c r="Y130" s="188">
        <f t="shared" si="44"/>
        <v>0</v>
      </c>
      <c r="Z130" s="188">
        <f t="shared" si="44"/>
        <v>0</v>
      </c>
    </row>
    <row r="131" spans="1:26">
      <c r="A131" t="s">
        <v>922</v>
      </c>
      <c r="B131" t="s">
        <v>102</v>
      </c>
      <c r="C131" s="188">
        <f>C20</f>
        <v>0</v>
      </c>
      <c r="D131" s="188">
        <f t="shared" ref="D131:Z131" si="45">D20</f>
        <v>0</v>
      </c>
      <c r="E131" s="188">
        <f t="shared" si="45"/>
        <v>0</v>
      </c>
      <c r="F131" s="188">
        <f t="shared" si="45"/>
        <v>0</v>
      </c>
      <c r="G131" s="188">
        <f t="shared" si="45"/>
        <v>0</v>
      </c>
      <c r="H131" s="188">
        <f t="shared" si="45"/>
        <v>0</v>
      </c>
      <c r="I131" s="188">
        <f t="shared" si="45"/>
        <v>0</v>
      </c>
      <c r="J131" s="188">
        <f t="shared" si="45"/>
        <v>0</v>
      </c>
      <c r="K131" s="188">
        <f t="shared" si="45"/>
        <v>0</v>
      </c>
      <c r="L131" s="188">
        <f t="shared" si="45"/>
        <v>0</v>
      </c>
      <c r="M131" s="188">
        <f t="shared" si="45"/>
        <v>0</v>
      </c>
      <c r="N131" s="188">
        <f t="shared" si="45"/>
        <v>0</v>
      </c>
      <c r="O131" s="188">
        <f t="shared" si="45"/>
        <v>0</v>
      </c>
      <c r="P131" s="188">
        <f t="shared" si="45"/>
        <v>0</v>
      </c>
      <c r="Q131" s="188">
        <f t="shared" si="45"/>
        <v>0</v>
      </c>
      <c r="R131" s="188">
        <f t="shared" si="45"/>
        <v>0</v>
      </c>
      <c r="S131" s="188">
        <f t="shared" si="45"/>
        <v>0</v>
      </c>
      <c r="T131" s="188">
        <f t="shared" si="45"/>
        <v>0</v>
      </c>
      <c r="U131" s="188">
        <f t="shared" si="45"/>
        <v>0</v>
      </c>
      <c r="V131" s="188">
        <f t="shared" si="45"/>
        <v>0</v>
      </c>
      <c r="W131" s="188">
        <f t="shared" si="45"/>
        <v>0</v>
      </c>
      <c r="X131" s="188">
        <f t="shared" si="45"/>
        <v>0</v>
      </c>
      <c r="Y131" s="188">
        <f t="shared" si="45"/>
        <v>0</v>
      </c>
      <c r="Z131" s="188">
        <f t="shared" si="45"/>
        <v>0</v>
      </c>
    </row>
    <row r="132" spans="1:26">
      <c r="C132" s="188">
        <f>C44</f>
        <v>0</v>
      </c>
      <c r="D132" s="188">
        <f t="shared" ref="D132:Z132" si="46">D44</f>
        <v>0</v>
      </c>
      <c r="E132" s="188">
        <f t="shared" si="46"/>
        <v>0</v>
      </c>
      <c r="F132" s="188">
        <f t="shared" si="46"/>
        <v>0</v>
      </c>
      <c r="G132" s="188">
        <f t="shared" si="46"/>
        <v>0</v>
      </c>
      <c r="H132" s="188">
        <f t="shared" si="46"/>
        <v>0</v>
      </c>
      <c r="I132" s="188">
        <f t="shared" si="46"/>
        <v>0</v>
      </c>
      <c r="J132" s="188">
        <f t="shared" si="46"/>
        <v>0</v>
      </c>
      <c r="K132" s="188">
        <f t="shared" si="46"/>
        <v>0</v>
      </c>
      <c r="L132" s="188">
        <f t="shared" si="46"/>
        <v>0</v>
      </c>
      <c r="M132" s="188">
        <f t="shared" si="46"/>
        <v>0</v>
      </c>
      <c r="N132" s="188">
        <f t="shared" si="46"/>
        <v>0</v>
      </c>
      <c r="O132" s="188">
        <f t="shared" si="46"/>
        <v>0</v>
      </c>
      <c r="P132" s="188">
        <f t="shared" si="46"/>
        <v>0</v>
      </c>
      <c r="Q132" s="188">
        <f t="shared" si="46"/>
        <v>0</v>
      </c>
      <c r="R132" s="188">
        <f t="shared" si="46"/>
        <v>0</v>
      </c>
      <c r="S132" s="188">
        <f t="shared" si="46"/>
        <v>0</v>
      </c>
      <c r="T132" s="188">
        <f t="shared" si="46"/>
        <v>0</v>
      </c>
      <c r="U132" s="188">
        <f t="shared" si="46"/>
        <v>0</v>
      </c>
      <c r="V132" s="188">
        <f t="shared" si="46"/>
        <v>0</v>
      </c>
      <c r="W132" s="188">
        <f t="shared" si="46"/>
        <v>0</v>
      </c>
      <c r="X132" s="188">
        <f t="shared" si="46"/>
        <v>0</v>
      </c>
      <c r="Y132" s="188">
        <f t="shared" si="46"/>
        <v>0</v>
      </c>
      <c r="Z132" s="188">
        <f t="shared" si="46"/>
        <v>0</v>
      </c>
    </row>
    <row r="133" spans="1:26">
      <c r="C133" s="188">
        <f>C68</f>
        <v>0</v>
      </c>
      <c r="D133" s="188">
        <f t="shared" ref="D133:Z133" si="47">D68</f>
        <v>0</v>
      </c>
      <c r="E133" s="188">
        <f t="shared" si="47"/>
        <v>0</v>
      </c>
      <c r="F133" s="188">
        <f t="shared" si="47"/>
        <v>0</v>
      </c>
      <c r="G133" s="188">
        <f t="shared" si="47"/>
        <v>0</v>
      </c>
      <c r="H133" s="188">
        <f t="shared" si="47"/>
        <v>0</v>
      </c>
      <c r="I133" s="188">
        <f t="shared" si="47"/>
        <v>0</v>
      </c>
      <c r="J133" s="188">
        <f t="shared" si="47"/>
        <v>0</v>
      </c>
      <c r="K133" s="188">
        <f t="shared" si="47"/>
        <v>0</v>
      </c>
      <c r="L133" s="188">
        <f t="shared" si="47"/>
        <v>0</v>
      </c>
      <c r="M133" s="188">
        <f t="shared" si="47"/>
        <v>0</v>
      </c>
      <c r="N133" s="188">
        <f t="shared" si="47"/>
        <v>0</v>
      </c>
      <c r="O133" s="188">
        <f t="shared" si="47"/>
        <v>0</v>
      </c>
      <c r="P133" s="188">
        <f t="shared" si="47"/>
        <v>0</v>
      </c>
      <c r="Q133" s="188">
        <f t="shared" si="47"/>
        <v>0</v>
      </c>
      <c r="R133" s="188">
        <f t="shared" si="47"/>
        <v>0</v>
      </c>
      <c r="S133" s="188">
        <f t="shared" si="47"/>
        <v>0</v>
      </c>
      <c r="T133" s="188">
        <f t="shared" si="47"/>
        <v>0</v>
      </c>
      <c r="U133" s="188">
        <f t="shared" si="47"/>
        <v>0</v>
      </c>
      <c r="V133" s="188">
        <f t="shared" si="47"/>
        <v>0</v>
      </c>
      <c r="W133" s="188">
        <f t="shared" si="47"/>
        <v>0</v>
      </c>
      <c r="X133" s="188">
        <f t="shared" si="47"/>
        <v>0</v>
      </c>
      <c r="Y133" s="188">
        <f t="shared" si="47"/>
        <v>0</v>
      </c>
      <c r="Z133" s="188">
        <f t="shared" si="47"/>
        <v>0</v>
      </c>
    </row>
    <row r="134" spans="1:26">
      <c r="A134" t="s">
        <v>791</v>
      </c>
      <c r="B134" t="s">
        <v>774</v>
      </c>
      <c r="C134" s="188">
        <f>C21</f>
        <v>0</v>
      </c>
      <c r="D134" s="188">
        <f t="shared" ref="D134:Z134" si="48">D21</f>
        <v>0</v>
      </c>
      <c r="E134" s="188">
        <f t="shared" si="48"/>
        <v>0</v>
      </c>
      <c r="F134" s="188">
        <f t="shared" si="48"/>
        <v>0</v>
      </c>
      <c r="G134" s="188">
        <f t="shared" si="48"/>
        <v>0</v>
      </c>
      <c r="H134" s="188">
        <f t="shared" si="48"/>
        <v>0</v>
      </c>
      <c r="I134" s="188">
        <f t="shared" si="48"/>
        <v>0</v>
      </c>
      <c r="J134" s="188">
        <f t="shared" si="48"/>
        <v>0</v>
      </c>
      <c r="K134" s="188">
        <f t="shared" si="48"/>
        <v>0</v>
      </c>
      <c r="L134" s="188">
        <f t="shared" si="48"/>
        <v>0</v>
      </c>
      <c r="M134" s="188">
        <f t="shared" si="48"/>
        <v>0</v>
      </c>
      <c r="N134" s="188">
        <f t="shared" si="48"/>
        <v>0</v>
      </c>
      <c r="O134" s="188">
        <f t="shared" si="48"/>
        <v>0</v>
      </c>
      <c r="P134" s="188">
        <f t="shared" si="48"/>
        <v>0</v>
      </c>
      <c r="Q134" s="188">
        <f t="shared" si="48"/>
        <v>0</v>
      </c>
      <c r="R134" s="188">
        <f t="shared" si="48"/>
        <v>0</v>
      </c>
      <c r="S134" s="188">
        <f t="shared" si="48"/>
        <v>0</v>
      </c>
      <c r="T134" s="188">
        <f t="shared" si="48"/>
        <v>0</v>
      </c>
      <c r="U134" s="188">
        <f t="shared" si="48"/>
        <v>0</v>
      </c>
      <c r="V134" s="188">
        <f t="shared" si="48"/>
        <v>0</v>
      </c>
      <c r="W134" s="188">
        <f t="shared" si="48"/>
        <v>0</v>
      </c>
      <c r="X134" s="188">
        <f t="shared" si="48"/>
        <v>0</v>
      </c>
      <c r="Y134" s="188">
        <f t="shared" si="48"/>
        <v>0</v>
      </c>
      <c r="Z134" s="188">
        <f t="shared" si="48"/>
        <v>0</v>
      </c>
    </row>
    <row r="135" spans="1:26">
      <c r="C135" s="188">
        <f>C45</f>
        <v>0</v>
      </c>
      <c r="D135" s="188">
        <f t="shared" ref="D135:Z135" si="49">D45</f>
        <v>0</v>
      </c>
      <c r="E135" s="188">
        <f t="shared" si="49"/>
        <v>0</v>
      </c>
      <c r="F135" s="188">
        <f t="shared" si="49"/>
        <v>0</v>
      </c>
      <c r="G135" s="188">
        <f t="shared" si="49"/>
        <v>0</v>
      </c>
      <c r="H135" s="188">
        <f t="shared" si="49"/>
        <v>0</v>
      </c>
      <c r="I135" s="188">
        <f t="shared" si="49"/>
        <v>0</v>
      </c>
      <c r="J135" s="188">
        <f t="shared" si="49"/>
        <v>0</v>
      </c>
      <c r="K135" s="188">
        <f t="shared" si="49"/>
        <v>0</v>
      </c>
      <c r="L135" s="188">
        <f t="shared" si="49"/>
        <v>0</v>
      </c>
      <c r="M135" s="188">
        <f t="shared" si="49"/>
        <v>0</v>
      </c>
      <c r="N135" s="188">
        <f t="shared" si="49"/>
        <v>0</v>
      </c>
      <c r="O135" s="188">
        <f t="shared" si="49"/>
        <v>0</v>
      </c>
      <c r="P135" s="188">
        <f t="shared" si="49"/>
        <v>0</v>
      </c>
      <c r="Q135" s="188">
        <f t="shared" si="49"/>
        <v>0</v>
      </c>
      <c r="R135" s="188">
        <f t="shared" si="49"/>
        <v>0</v>
      </c>
      <c r="S135" s="188">
        <f t="shared" si="49"/>
        <v>0</v>
      </c>
      <c r="T135" s="188">
        <f t="shared" si="49"/>
        <v>0</v>
      </c>
      <c r="U135" s="188">
        <f t="shared" si="49"/>
        <v>0</v>
      </c>
      <c r="V135" s="188">
        <f t="shared" si="49"/>
        <v>0</v>
      </c>
      <c r="W135" s="188">
        <f t="shared" si="49"/>
        <v>0</v>
      </c>
      <c r="X135" s="188">
        <f t="shared" si="49"/>
        <v>0</v>
      </c>
      <c r="Y135" s="188">
        <f t="shared" si="49"/>
        <v>0</v>
      </c>
      <c r="Z135" s="188">
        <f t="shared" si="49"/>
        <v>0</v>
      </c>
    </row>
    <row r="136" spans="1:26">
      <c r="C136" s="188">
        <f>C63</f>
        <v>2.6259999999999999</v>
      </c>
      <c r="D136" s="188">
        <f t="shared" ref="D136:Z136" si="50">D63</f>
        <v>2.64</v>
      </c>
      <c r="E136" s="188">
        <f t="shared" si="50"/>
        <v>2.6539999999999999</v>
      </c>
      <c r="F136" s="188">
        <f t="shared" si="50"/>
        <v>2.6680000000000001</v>
      </c>
      <c r="G136" s="188">
        <f t="shared" si="50"/>
        <v>2.6819999999999999</v>
      </c>
      <c r="H136" s="188">
        <f t="shared" si="50"/>
        <v>2.6970000000000001</v>
      </c>
      <c r="I136" s="188">
        <f t="shared" si="50"/>
        <v>2.7109999999999999</v>
      </c>
      <c r="J136" s="188">
        <f t="shared" si="50"/>
        <v>2.7250000000000001</v>
      </c>
      <c r="K136" s="188">
        <f t="shared" si="50"/>
        <v>2.74</v>
      </c>
      <c r="L136" s="188">
        <f t="shared" si="50"/>
        <v>2.754</v>
      </c>
      <c r="M136" s="188">
        <f t="shared" si="50"/>
        <v>2.7679999999999998</v>
      </c>
      <c r="N136" s="188">
        <f t="shared" si="50"/>
        <v>2.7829999999999999</v>
      </c>
      <c r="O136" s="188">
        <f t="shared" si="50"/>
        <v>2.7970000000000002</v>
      </c>
      <c r="P136" s="188">
        <f t="shared" si="50"/>
        <v>2.8109999999999999</v>
      </c>
      <c r="Q136" s="188">
        <f t="shared" si="50"/>
        <v>2.8250000000000002</v>
      </c>
      <c r="R136" s="188">
        <f t="shared" si="50"/>
        <v>2.839</v>
      </c>
      <c r="S136" s="188">
        <f t="shared" si="50"/>
        <v>2.8519999999999999</v>
      </c>
      <c r="T136" s="188">
        <f t="shared" si="50"/>
        <v>2.8660000000000001</v>
      </c>
      <c r="U136" s="188">
        <f t="shared" si="50"/>
        <v>2.879</v>
      </c>
      <c r="V136" s="188">
        <f t="shared" si="50"/>
        <v>2.8919999999999999</v>
      </c>
      <c r="W136" s="188">
        <f t="shared" si="50"/>
        <v>2.9049999999999998</v>
      </c>
      <c r="X136" s="188">
        <f t="shared" si="50"/>
        <v>2.9180000000000001</v>
      </c>
      <c r="Y136" s="188">
        <f t="shared" si="50"/>
        <v>2.931</v>
      </c>
      <c r="Z136" s="188">
        <f t="shared" si="50"/>
        <v>2.944</v>
      </c>
    </row>
    <row r="137" spans="1:26">
      <c r="A137" t="s">
        <v>792</v>
      </c>
      <c r="B137" t="s">
        <v>776</v>
      </c>
      <c r="C137" s="188">
        <f>C22</f>
        <v>0</v>
      </c>
      <c r="D137" s="188">
        <f t="shared" ref="D137:Z137" si="51">D22</f>
        <v>0</v>
      </c>
      <c r="E137" s="188">
        <f t="shared" si="51"/>
        <v>0</v>
      </c>
      <c r="F137" s="188">
        <f t="shared" si="51"/>
        <v>0</v>
      </c>
      <c r="G137" s="188">
        <f t="shared" si="51"/>
        <v>0</v>
      </c>
      <c r="H137" s="188">
        <f t="shared" si="51"/>
        <v>0</v>
      </c>
      <c r="I137" s="188">
        <f t="shared" si="51"/>
        <v>0</v>
      </c>
      <c r="J137" s="188">
        <f t="shared" si="51"/>
        <v>0</v>
      </c>
      <c r="K137" s="188">
        <f t="shared" si="51"/>
        <v>0</v>
      </c>
      <c r="L137" s="188">
        <f t="shared" si="51"/>
        <v>0</v>
      </c>
      <c r="M137" s="188">
        <f t="shared" si="51"/>
        <v>0</v>
      </c>
      <c r="N137" s="188">
        <f t="shared" si="51"/>
        <v>0</v>
      </c>
      <c r="O137" s="188">
        <f t="shared" si="51"/>
        <v>0</v>
      </c>
      <c r="P137" s="188">
        <f t="shared" si="51"/>
        <v>0</v>
      </c>
      <c r="Q137" s="188">
        <f t="shared" si="51"/>
        <v>0</v>
      </c>
      <c r="R137" s="188">
        <f t="shared" si="51"/>
        <v>0</v>
      </c>
      <c r="S137" s="188">
        <f t="shared" si="51"/>
        <v>0</v>
      </c>
      <c r="T137" s="188">
        <f t="shared" si="51"/>
        <v>0</v>
      </c>
      <c r="U137" s="188">
        <f t="shared" si="51"/>
        <v>0</v>
      </c>
      <c r="V137" s="188">
        <f t="shared" si="51"/>
        <v>0</v>
      </c>
      <c r="W137" s="188">
        <f t="shared" si="51"/>
        <v>0</v>
      </c>
      <c r="X137" s="188">
        <f t="shared" si="51"/>
        <v>0</v>
      </c>
      <c r="Y137" s="188">
        <f t="shared" si="51"/>
        <v>0</v>
      </c>
      <c r="Z137" s="188">
        <f t="shared" si="51"/>
        <v>0</v>
      </c>
    </row>
    <row r="138" spans="1:26">
      <c r="C138" s="188">
        <f>C46</f>
        <v>0</v>
      </c>
      <c r="D138" s="188">
        <f t="shared" ref="D138:Z138" si="52">D46</f>
        <v>0</v>
      </c>
      <c r="E138" s="188">
        <f t="shared" si="52"/>
        <v>0</v>
      </c>
      <c r="F138" s="188">
        <f t="shared" si="52"/>
        <v>0</v>
      </c>
      <c r="G138" s="188">
        <f t="shared" si="52"/>
        <v>0</v>
      </c>
      <c r="H138" s="188">
        <f t="shared" si="52"/>
        <v>0</v>
      </c>
      <c r="I138" s="188">
        <f t="shared" si="52"/>
        <v>0</v>
      </c>
      <c r="J138" s="188">
        <f t="shared" si="52"/>
        <v>0</v>
      </c>
      <c r="K138" s="188">
        <f t="shared" si="52"/>
        <v>0</v>
      </c>
      <c r="L138" s="188">
        <f t="shared" si="52"/>
        <v>0</v>
      </c>
      <c r="M138" s="188">
        <f t="shared" si="52"/>
        <v>0</v>
      </c>
      <c r="N138" s="188">
        <f t="shared" si="52"/>
        <v>0</v>
      </c>
      <c r="O138" s="188">
        <f t="shared" si="52"/>
        <v>0</v>
      </c>
      <c r="P138" s="188">
        <f t="shared" si="52"/>
        <v>0</v>
      </c>
      <c r="Q138" s="188">
        <f t="shared" si="52"/>
        <v>0</v>
      </c>
      <c r="R138" s="188">
        <f t="shared" si="52"/>
        <v>0</v>
      </c>
      <c r="S138" s="188">
        <f t="shared" si="52"/>
        <v>0</v>
      </c>
      <c r="T138" s="188">
        <f t="shared" si="52"/>
        <v>0</v>
      </c>
      <c r="U138" s="188">
        <f t="shared" si="52"/>
        <v>0</v>
      </c>
      <c r="V138" s="188">
        <f t="shared" si="52"/>
        <v>0</v>
      </c>
      <c r="W138" s="188">
        <f t="shared" si="52"/>
        <v>0</v>
      </c>
      <c r="X138" s="188">
        <f t="shared" si="52"/>
        <v>0</v>
      </c>
      <c r="Y138" s="188">
        <f t="shared" si="52"/>
        <v>0</v>
      </c>
      <c r="Z138" s="188">
        <f t="shared" si="52"/>
        <v>0</v>
      </c>
    </row>
    <row r="139" spans="1:26">
      <c r="C139" s="188">
        <f>C70</f>
        <v>0</v>
      </c>
      <c r="D139" s="188">
        <f t="shared" ref="D139:Z139" si="53">D70</f>
        <v>0</v>
      </c>
      <c r="E139" s="188">
        <f t="shared" si="53"/>
        <v>0</v>
      </c>
      <c r="F139" s="188">
        <f t="shared" si="53"/>
        <v>0</v>
      </c>
      <c r="G139" s="188">
        <f t="shared" si="53"/>
        <v>0</v>
      </c>
      <c r="H139" s="188">
        <f t="shared" si="53"/>
        <v>0</v>
      </c>
      <c r="I139" s="188">
        <f t="shared" si="53"/>
        <v>0</v>
      </c>
      <c r="J139" s="188">
        <f t="shared" si="53"/>
        <v>0</v>
      </c>
      <c r="K139" s="188">
        <f t="shared" si="53"/>
        <v>0</v>
      </c>
      <c r="L139" s="188">
        <f t="shared" si="53"/>
        <v>0</v>
      </c>
      <c r="M139" s="188">
        <f t="shared" si="53"/>
        <v>0</v>
      </c>
      <c r="N139" s="188">
        <f t="shared" si="53"/>
        <v>0</v>
      </c>
      <c r="O139" s="188">
        <f t="shared" si="53"/>
        <v>0</v>
      </c>
      <c r="P139" s="188">
        <f t="shared" si="53"/>
        <v>0</v>
      </c>
      <c r="Q139" s="188">
        <f t="shared" si="53"/>
        <v>0</v>
      </c>
      <c r="R139" s="188">
        <f t="shared" si="53"/>
        <v>0</v>
      </c>
      <c r="S139" s="188">
        <f t="shared" si="53"/>
        <v>0</v>
      </c>
      <c r="T139" s="188">
        <f t="shared" si="53"/>
        <v>0</v>
      </c>
      <c r="U139" s="188">
        <f t="shared" si="53"/>
        <v>0</v>
      </c>
      <c r="V139" s="188">
        <f t="shared" si="53"/>
        <v>0</v>
      </c>
      <c r="W139" s="188">
        <f t="shared" si="53"/>
        <v>0</v>
      </c>
      <c r="X139" s="188">
        <f t="shared" si="53"/>
        <v>0</v>
      </c>
      <c r="Y139" s="188">
        <f t="shared" si="53"/>
        <v>0</v>
      </c>
      <c r="Z139" s="188">
        <f t="shared" si="53"/>
        <v>0</v>
      </c>
    </row>
    <row r="140" spans="1:26">
      <c r="A140" t="s">
        <v>793</v>
      </c>
      <c r="B140" t="s">
        <v>778</v>
      </c>
      <c r="C140" s="188">
        <f>C23</f>
        <v>0</v>
      </c>
      <c r="D140" s="188">
        <f t="shared" ref="D140:Z140" si="54">D23</f>
        <v>0</v>
      </c>
      <c r="E140" s="188">
        <f t="shared" si="54"/>
        <v>0</v>
      </c>
      <c r="F140" s="188">
        <f t="shared" si="54"/>
        <v>0</v>
      </c>
      <c r="G140" s="188">
        <f t="shared" si="54"/>
        <v>0</v>
      </c>
      <c r="H140" s="188">
        <f t="shared" si="54"/>
        <v>0</v>
      </c>
      <c r="I140" s="188">
        <f t="shared" si="54"/>
        <v>0</v>
      </c>
      <c r="J140" s="188">
        <f t="shared" si="54"/>
        <v>0</v>
      </c>
      <c r="K140" s="188">
        <f t="shared" si="54"/>
        <v>0</v>
      </c>
      <c r="L140" s="188">
        <f t="shared" si="54"/>
        <v>0</v>
      </c>
      <c r="M140" s="188">
        <f t="shared" si="54"/>
        <v>0</v>
      </c>
      <c r="N140" s="188">
        <f t="shared" si="54"/>
        <v>0</v>
      </c>
      <c r="O140" s="188">
        <f t="shared" si="54"/>
        <v>0</v>
      </c>
      <c r="P140" s="188">
        <f t="shared" si="54"/>
        <v>0</v>
      </c>
      <c r="Q140" s="188">
        <f t="shared" si="54"/>
        <v>0</v>
      </c>
      <c r="R140" s="188">
        <f t="shared" si="54"/>
        <v>0</v>
      </c>
      <c r="S140" s="188">
        <f t="shared" si="54"/>
        <v>0</v>
      </c>
      <c r="T140" s="188">
        <f t="shared" si="54"/>
        <v>0</v>
      </c>
      <c r="U140" s="188">
        <f t="shared" si="54"/>
        <v>0</v>
      </c>
      <c r="V140" s="188">
        <f t="shared" si="54"/>
        <v>0</v>
      </c>
      <c r="W140" s="188">
        <f t="shared" si="54"/>
        <v>0</v>
      </c>
      <c r="X140" s="188">
        <f t="shared" si="54"/>
        <v>0</v>
      </c>
      <c r="Y140" s="188">
        <f t="shared" si="54"/>
        <v>0</v>
      </c>
      <c r="Z140" s="188">
        <f t="shared" si="54"/>
        <v>0</v>
      </c>
    </row>
    <row r="141" spans="1:26">
      <c r="C141" s="188">
        <f>C47</f>
        <v>0</v>
      </c>
      <c r="D141" s="188">
        <f t="shared" ref="D141:Z141" si="55">D47</f>
        <v>0</v>
      </c>
      <c r="E141" s="188">
        <f t="shared" si="55"/>
        <v>0</v>
      </c>
      <c r="F141" s="188">
        <f t="shared" si="55"/>
        <v>0</v>
      </c>
      <c r="G141" s="188">
        <f t="shared" si="55"/>
        <v>0</v>
      </c>
      <c r="H141" s="188">
        <f t="shared" si="55"/>
        <v>0</v>
      </c>
      <c r="I141" s="188">
        <f t="shared" si="55"/>
        <v>0</v>
      </c>
      <c r="J141" s="188">
        <f t="shared" si="55"/>
        <v>0</v>
      </c>
      <c r="K141" s="188">
        <f t="shared" si="55"/>
        <v>0</v>
      </c>
      <c r="L141" s="188">
        <f t="shared" si="55"/>
        <v>0</v>
      </c>
      <c r="M141" s="188">
        <f t="shared" si="55"/>
        <v>0</v>
      </c>
      <c r="N141" s="188">
        <f t="shared" si="55"/>
        <v>0</v>
      </c>
      <c r="O141" s="188">
        <f t="shared" si="55"/>
        <v>0</v>
      </c>
      <c r="P141" s="188">
        <f t="shared" si="55"/>
        <v>0</v>
      </c>
      <c r="Q141" s="188">
        <f t="shared" si="55"/>
        <v>0</v>
      </c>
      <c r="R141" s="188">
        <f t="shared" si="55"/>
        <v>0</v>
      </c>
      <c r="S141" s="188">
        <f t="shared" si="55"/>
        <v>0</v>
      </c>
      <c r="T141" s="188">
        <f t="shared" si="55"/>
        <v>0</v>
      </c>
      <c r="U141" s="188">
        <f t="shared" si="55"/>
        <v>0</v>
      </c>
      <c r="V141" s="188">
        <f t="shared" si="55"/>
        <v>0</v>
      </c>
      <c r="W141" s="188">
        <f t="shared" si="55"/>
        <v>0</v>
      </c>
      <c r="X141" s="188">
        <f t="shared" si="55"/>
        <v>0</v>
      </c>
      <c r="Y141" s="188">
        <f t="shared" si="55"/>
        <v>0</v>
      </c>
      <c r="Z141" s="188">
        <f t="shared" si="55"/>
        <v>0</v>
      </c>
    </row>
    <row r="142" spans="1:26">
      <c r="C142" s="188">
        <f>C71</f>
        <v>0</v>
      </c>
      <c r="D142" s="188">
        <f t="shared" ref="D142:Z142" si="56">D71</f>
        <v>0</v>
      </c>
      <c r="E142" s="188">
        <f t="shared" si="56"/>
        <v>0</v>
      </c>
      <c r="F142" s="188">
        <f t="shared" si="56"/>
        <v>0</v>
      </c>
      <c r="G142" s="188">
        <f t="shared" si="56"/>
        <v>0</v>
      </c>
      <c r="H142" s="188">
        <f t="shared" si="56"/>
        <v>0</v>
      </c>
      <c r="I142" s="188">
        <f t="shared" si="56"/>
        <v>0</v>
      </c>
      <c r="J142" s="188">
        <f t="shared" si="56"/>
        <v>0</v>
      </c>
      <c r="K142" s="188">
        <f t="shared" si="56"/>
        <v>0</v>
      </c>
      <c r="L142" s="188">
        <f t="shared" si="56"/>
        <v>0</v>
      </c>
      <c r="M142" s="188">
        <f t="shared" si="56"/>
        <v>0</v>
      </c>
      <c r="N142" s="188">
        <f t="shared" si="56"/>
        <v>0</v>
      </c>
      <c r="O142" s="188">
        <f t="shared" si="56"/>
        <v>0</v>
      </c>
      <c r="P142" s="188">
        <f t="shared" si="56"/>
        <v>0</v>
      </c>
      <c r="Q142" s="188">
        <f t="shared" si="56"/>
        <v>0</v>
      </c>
      <c r="R142" s="188">
        <f t="shared" si="56"/>
        <v>0</v>
      </c>
      <c r="S142" s="188">
        <f t="shared" si="56"/>
        <v>0</v>
      </c>
      <c r="T142" s="188">
        <f t="shared" si="56"/>
        <v>0</v>
      </c>
      <c r="U142" s="188">
        <f t="shared" si="56"/>
        <v>0</v>
      </c>
      <c r="V142" s="188">
        <f t="shared" si="56"/>
        <v>0</v>
      </c>
      <c r="W142" s="188">
        <f t="shared" si="56"/>
        <v>0</v>
      </c>
      <c r="X142" s="188">
        <f t="shared" si="56"/>
        <v>0</v>
      </c>
      <c r="Y142" s="188">
        <f t="shared" si="56"/>
        <v>0</v>
      </c>
      <c r="Z142" s="188">
        <f t="shared" si="56"/>
        <v>0</v>
      </c>
    </row>
    <row r="143" spans="1:26">
      <c r="A143" t="s">
        <v>794</v>
      </c>
      <c r="B143" t="s">
        <v>780</v>
      </c>
      <c r="C143" s="188">
        <f>C48</f>
        <v>0</v>
      </c>
      <c r="D143" s="188">
        <f t="shared" ref="D143:Z143" si="57">D48</f>
        <v>0</v>
      </c>
      <c r="E143" s="188">
        <f t="shared" si="57"/>
        <v>0</v>
      </c>
      <c r="F143" s="188">
        <f t="shared" si="57"/>
        <v>0</v>
      </c>
      <c r="G143" s="188">
        <f t="shared" si="57"/>
        <v>0</v>
      </c>
      <c r="H143" s="188">
        <f t="shared" si="57"/>
        <v>0</v>
      </c>
      <c r="I143" s="188">
        <f t="shared" si="57"/>
        <v>0</v>
      </c>
      <c r="J143" s="188">
        <f t="shared" si="57"/>
        <v>0</v>
      </c>
      <c r="K143" s="188">
        <f t="shared" si="57"/>
        <v>0</v>
      </c>
      <c r="L143" s="188">
        <f t="shared" si="57"/>
        <v>0</v>
      </c>
      <c r="M143" s="188">
        <f t="shared" si="57"/>
        <v>0</v>
      </c>
      <c r="N143" s="188">
        <f t="shared" si="57"/>
        <v>0</v>
      </c>
      <c r="O143" s="188">
        <f t="shared" si="57"/>
        <v>0</v>
      </c>
      <c r="P143" s="188">
        <f t="shared" si="57"/>
        <v>0</v>
      </c>
      <c r="Q143" s="188">
        <f t="shared" si="57"/>
        <v>0</v>
      </c>
      <c r="R143" s="188">
        <f t="shared" si="57"/>
        <v>0</v>
      </c>
      <c r="S143" s="188">
        <f t="shared" si="57"/>
        <v>0</v>
      </c>
      <c r="T143" s="188">
        <f t="shared" si="57"/>
        <v>0</v>
      </c>
      <c r="U143" s="188">
        <f t="shared" si="57"/>
        <v>0</v>
      </c>
      <c r="V143" s="188">
        <f t="shared" si="57"/>
        <v>0</v>
      </c>
      <c r="W143" s="188">
        <f t="shared" si="57"/>
        <v>0</v>
      </c>
      <c r="X143" s="188">
        <f t="shared" si="57"/>
        <v>0</v>
      </c>
      <c r="Y143" s="188">
        <f t="shared" si="57"/>
        <v>0</v>
      </c>
      <c r="Z143" s="188">
        <f t="shared" si="57"/>
        <v>0</v>
      </c>
    </row>
    <row r="144" spans="1:26">
      <c r="C144" s="188">
        <f>C48</f>
        <v>0</v>
      </c>
      <c r="D144" s="188">
        <f t="shared" ref="D144:Z144" si="58">D48</f>
        <v>0</v>
      </c>
      <c r="E144" s="188">
        <f t="shared" si="58"/>
        <v>0</v>
      </c>
      <c r="F144" s="188">
        <f t="shared" si="58"/>
        <v>0</v>
      </c>
      <c r="G144" s="188">
        <f t="shared" si="58"/>
        <v>0</v>
      </c>
      <c r="H144" s="188">
        <f t="shared" si="58"/>
        <v>0</v>
      </c>
      <c r="I144" s="188">
        <f t="shared" si="58"/>
        <v>0</v>
      </c>
      <c r="J144" s="188">
        <f t="shared" si="58"/>
        <v>0</v>
      </c>
      <c r="K144" s="188">
        <f t="shared" si="58"/>
        <v>0</v>
      </c>
      <c r="L144" s="188">
        <f t="shared" si="58"/>
        <v>0</v>
      </c>
      <c r="M144" s="188">
        <f t="shared" si="58"/>
        <v>0</v>
      </c>
      <c r="N144" s="188">
        <f t="shared" si="58"/>
        <v>0</v>
      </c>
      <c r="O144" s="188">
        <f t="shared" si="58"/>
        <v>0</v>
      </c>
      <c r="P144" s="188">
        <f t="shared" si="58"/>
        <v>0</v>
      </c>
      <c r="Q144" s="188">
        <f t="shared" si="58"/>
        <v>0</v>
      </c>
      <c r="R144" s="188">
        <f t="shared" si="58"/>
        <v>0</v>
      </c>
      <c r="S144" s="188">
        <f t="shared" si="58"/>
        <v>0</v>
      </c>
      <c r="T144" s="188">
        <f t="shared" si="58"/>
        <v>0</v>
      </c>
      <c r="U144" s="188">
        <f t="shared" si="58"/>
        <v>0</v>
      </c>
      <c r="V144" s="188">
        <f t="shared" si="58"/>
        <v>0</v>
      </c>
      <c r="W144" s="188">
        <f t="shared" si="58"/>
        <v>0</v>
      </c>
      <c r="X144" s="188">
        <f t="shared" si="58"/>
        <v>0</v>
      </c>
      <c r="Y144" s="188">
        <f t="shared" si="58"/>
        <v>0</v>
      </c>
      <c r="Z144" s="188">
        <f t="shared" si="58"/>
        <v>0</v>
      </c>
    </row>
    <row r="145" spans="1:26">
      <c r="C145" s="188">
        <f>C72</f>
        <v>0</v>
      </c>
      <c r="D145" s="188">
        <f t="shared" ref="D145:Z145" si="59">D72</f>
        <v>0</v>
      </c>
      <c r="E145" s="188">
        <f t="shared" si="59"/>
        <v>0</v>
      </c>
      <c r="F145" s="188">
        <f t="shared" si="59"/>
        <v>0</v>
      </c>
      <c r="G145" s="188">
        <f t="shared" si="59"/>
        <v>0</v>
      </c>
      <c r="H145" s="188">
        <f t="shared" si="59"/>
        <v>0</v>
      </c>
      <c r="I145" s="188">
        <f t="shared" si="59"/>
        <v>0</v>
      </c>
      <c r="J145" s="188">
        <f t="shared" si="59"/>
        <v>0</v>
      </c>
      <c r="K145" s="188">
        <f t="shared" si="59"/>
        <v>0</v>
      </c>
      <c r="L145" s="188">
        <f t="shared" si="59"/>
        <v>0</v>
      </c>
      <c r="M145" s="188">
        <f t="shared" si="59"/>
        <v>0</v>
      </c>
      <c r="N145" s="188">
        <f t="shared" si="59"/>
        <v>0</v>
      </c>
      <c r="O145" s="188">
        <f t="shared" si="59"/>
        <v>0</v>
      </c>
      <c r="P145" s="188">
        <f t="shared" si="59"/>
        <v>0</v>
      </c>
      <c r="Q145" s="188">
        <f t="shared" si="59"/>
        <v>0</v>
      </c>
      <c r="R145" s="188">
        <f t="shared" si="59"/>
        <v>0</v>
      </c>
      <c r="S145" s="188">
        <f t="shared" si="59"/>
        <v>0</v>
      </c>
      <c r="T145" s="188">
        <f t="shared" si="59"/>
        <v>0</v>
      </c>
      <c r="U145" s="188">
        <f t="shared" si="59"/>
        <v>0</v>
      </c>
      <c r="V145" s="188">
        <f t="shared" si="59"/>
        <v>0</v>
      </c>
      <c r="W145" s="188">
        <f t="shared" si="59"/>
        <v>0</v>
      </c>
      <c r="X145" s="188">
        <f t="shared" si="59"/>
        <v>0</v>
      </c>
      <c r="Y145" s="188">
        <f t="shared" si="59"/>
        <v>0</v>
      </c>
      <c r="Z145" s="188">
        <f t="shared" si="59"/>
        <v>0</v>
      </c>
    </row>
    <row r="146" spans="1:26">
      <c r="A146" t="s">
        <v>795</v>
      </c>
      <c r="C146" s="188">
        <f>C25</f>
        <v>0</v>
      </c>
      <c r="D146" s="188">
        <f t="shared" ref="D146:Z146" si="60">D25</f>
        <v>0</v>
      </c>
      <c r="E146" s="188">
        <f t="shared" si="60"/>
        <v>0</v>
      </c>
      <c r="F146" s="188">
        <f t="shared" si="60"/>
        <v>0</v>
      </c>
      <c r="G146" s="188">
        <f t="shared" si="60"/>
        <v>0</v>
      </c>
      <c r="H146" s="188">
        <f t="shared" si="60"/>
        <v>0</v>
      </c>
      <c r="I146" s="188">
        <f t="shared" si="60"/>
        <v>0</v>
      </c>
      <c r="J146" s="188">
        <f t="shared" si="60"/>
        <v>0</v>
      </c>
      <c r="K146" s="188">
        <f t="shared" si="60"/>
        <v>0</v>
      </c>
      <c r="L146" s="188">
        <f t="shared" si="60"/>
        <v>0</v>
      </c>
      <c r="M146" s="188">
        <f t="shared" si="60"/>
        <v>0</v>
      </c>
      <c r="N146" s="188">
        <f t="shared" si="60"/>
        <v>0</v>
      </c>
      <c r="O146" s="188">
        <f t="shared" si="60"/>
        <v>0</v>
      </c>
      <c r="P146" s="188">
        <f t="shared" si="60"/>
        <v>0</v>
      </c>
      <c r="Q146" s="188">
        <f t="shared" si="60"/>
        <v>0</v>
      </c>
      <c r="R146" s="188">
        <f t="shared" si="60"/>
        <v>0</v>
      </c>
      <c r="S146" s="188">
        <f t="shared" si="60"/>
        <v>0</v>
      </c>
      <c r="T146" s="188">
        <f t="shared" si="60"/>
        <v>0</v>
      </c>
      <c r="U146" s="188">
        <f t="shared" si="60"/>
        <v>0</v>
      </c>
      <c r="V146" s="188">
        <f t="shared" si="60"/>
        <v>0</v>
      </c>
      <c r="W146" s="188">
        <f t="shared" si="60"/>
        <v>0</v>
      </c>
      <c r="X146" s="188">
        <f t="shared" si="60"/>
        <v>0</v>
      </c>
      <c r="Y146" s="188">
        <f t="shared" si="60"/>
        <v>0</v>
      </c>
      <c r="Z146" s="188">
        <f t="shared" si="60"/>
        <v>0</v>
      </c>
    </row>
    <row r="147" spans="1:26">
      <c r="C147" s="188">
        <f>C49</f>
        <v>0</v>
      </c>
      <c r="D147" s="188">
        <f t="shared" ref="D147:Z147" si="61">D49</f>
        <v>0</v>
      </c>
      <c r="E147" s="188">
        <f t="shared" si="61"/>
        <v>0</v>
      </c>
      <c r="F147" s="188">
        <f t="shared" si="61"/>
        <v>0</v>
      </c>
      <c r="G147" s="188">
        <f t="shared" si="61"/>
        <v>0</v>
      </c>
      <c r="H147" s="188">
        <f t="shared" si="61"/>
        <v>0</v>
      </c>
      <c r="I147" s="188">
        <f t="shared" si="61"/>
        <v>0</v>
      </c>
      <c r="J147" s="188">
        <f t="shared" si="61"/>
        <v>0</v>
      </c>
      <c r="K147" s="188">
        <f t="shared" si="61"/>
        <v>0</v>
      </c>
      <c r="L147" s="188">
        <f t="shared" si="61"/>
        <v>0</v>
      </c>
      <c r="M147" s="188">
        <f t="shared" si="61"/>
        <v>0</v>
      </c>
      <c r="N147" s="188">
        <f t="shared" si="61"/>
        <v>0</v>
      </c>
      <c r="O147" s="188">
        <f t="shared" si="61"/>
        <v>0</v>
      </c>
      <c r="P147" s="188">
        <f t="shared" si="61"/>
        <v>0</v>
      </c>
      <c r="Q147" s="188">
        <f t="shared" si="61"/>
        <v>0</v>
      </c>
      <c r="R147" s="188">
        <f t="shared" si="61"/>
        <v>0</v>
      </c>
      <c r="S147" s="188">
        <f t="shared" si="61"/>
        <v>0</v>
      </c>
      <c r="T147" s="188">
        <f t="shared" si="61"/>
        <v>0</v>
      </c>
      <c r="U147" s="188">
        <f t="shared" si="61"/>
        <v>0</v>
      </c>
      <c r="V147" s="188">
        <f t="shared" si="61"/>
        <v>0</v>
      </c>
      <c r="W147" s="188">
        <f t="shared" si="61"/>
        <v>0</v>
      </c>
      <c r="X147" s="188">
        <f t="shared" si="61"/>
        <v>0</v>
      </c>
      <c r="Y147" s="188">
        <f t="shared" si="61"/>
        <v>0</v>
      </c>
      <c r="Z147" s="188">
        <f t="shared" si="61"/>
        <v>0</v>
      </c>
    </row>
    <row r="148" spans="1:26">
      <c r="C148" s="188">
        <f>C73</f>
        <v>0</v>
      </c>
      <c r="D148" s="188">
        <f t="shared" ref="D148:Z148" si="62">D73</f>
        <v>0</v>
      </c>
      <c r="E148" s="188">
        <f t="shared" si="62"/>
        <v>0</v>
      </c>
      <c r="F148" s="188">
        <f t="shared" si="62"/>
        <v>0</v>
      </c>
      <c r="G148" s="188">
        <f t="shared" si="62"/>
        <v>0</v>
      </c>
      <c r="H148" s="188">
        <f t="shared" si="62"/>
        <v>0</v>
      </c>
      <c r="I148" s="188">
        <f t="shared" si="62"/>
        <v>0</v>
      </c>
      <c r="J148" s="188">
        <f t="shared" si="62"/>
        <v>0</v>
      </c>
      <c r="K148" s="188">
        <f t="shared" si="62"/>
        <v>0</v>
      </c>
      <c r="L148" s="188">
        <f t="shared" si="62"/>
        <v>0</v>
      </c>
      <c r="M148" s="188">
        <f t="shared" si="62"/>
        <v>0</v>
      </c>
      <c r="N148" s="188">
        <f t="shared" si="62"/>
        <v>0</v>
      </c>
      <c r="O148" s="188">
        <f t="shared" si="62"/>
        <v>0</v>
      </c>
      <c r="P148" s="188">
        <f t="shared" si="62"/>
        <v>0</v>
      </c>
      <c r="Q148" s="188">
        <f t="shared" si="62"/>
        <v>0</v>
      </c>
      <c r="R148" s="188">
        <f t="shared" si="62"/>
        <v>0</v>
      </c>
      <c r="S148" s="188">
        <f t="shared" si="62"/>
        <v>0</v>
      </c>
      <c r="T148" s="188">
        <f t="shared" si="62"/>
        <v>0</v>
      </c>
      <c r="U148" s="188">
        <f t="shared" si="62"/>
        <v>0</v>
      </c>
      <c r="V148" s="188">
        <f t="shared" si="62"/>
        <v>0</v>
      </c>
      <c r="W148" s="188">
        <f t="shared" si="62"/>
        <v>0</v>
      </c>
      <c r="X148" s="188">
        <f t="shared" si="62"/>
        <v>0</v>
      </c>
      <c r="Y148" s="188">
        <f t="shared" si="62"/>
        <v>0</v>
      </c>
      <c r="Z148" s="188">
        <f t="shared" si="62"/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0"/>
  <dimension ref="A1:P279"/>
  <sheetViews>
    <sheetView zoomScaleNormal="100" workbookViewId="0">
      <selection activeCell="L62" sqref="L62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  <col min="7" max="7" width="4" bestFit="1" customWidth="1"/>
    <col min="8" max="8" width="3.85546875" bestFit="1" customWidth="1"/>
    <col min="9" max="10" width="2" bestFit="1" customWidth="1"/>
    <col min="11" max="11" width="3.85546875" bestFit="1" customWidth="1"/>
  </cols>
  <sheetData>
    <row r="1" spans="1:16">
      <c r="A1" s="17" t="s">
        <v>119</v>
      </c>
      <c r="B1" s="16" t="s">
        <v>118</v>
      </c>
      <c r="C1" s="19" t="s">
        <v>120</v>
      </c>
      <c r="G1" s="243" t="s">
        <v>923</v>
      </c>
      <c r="H1" s="243"/>
      <c r="I1" s="243"/>
      <c r="J1" s="243"/>
      <c r="K1" s="243"/>
      <c r="L1" s="243"/>
      <c r="M1" s="243"/>
      <c r="N1" s="243"/>
      <c r="O1" s="243"/>
      <c r="P1" s="243"/>
    </row>
    <row r="2" spans="1:16">
      <c r="A2" s="17"/>
      <c r="B2" s="16"/>
      <c r="C2" s="19"/>
    </row>
    <row r="3" spans="1:16">
      <c r="A3" s="7" t="s">
        <v>924</v>
      </c>
      <c r="B3" t="s">
        <v>95</v>
      </c>
      <c r="C3" s="102">
        <v>10000</v>
      </c>
      <c r="G3" s="242" t="s">
        <v>110</v>
      </c>
      <c r="H3" s="242"/>
      <c r="I3" s="242"/>
      <c r="J3" s="242"/>
      <c r="K3" s="242"/>
      <c r="L3" s="242"/>
      <c r="M3" s="242"/>
      <c r="N3" s="242"/>
      <c r="O3" s="242"/>
      <c r="P3" s="242"/>
    </row>
    <row r="4" spans="1:16">
      <c r="A4" s="7"/>
      <c r="B4" t="s">
        <v>96</v>
      </c>
      <c r="C4" s="116">
        <f>C3/3600</f>
        <v>2.7777777777777777</v>
      </c>
      <c r="G4" s="242" t="s">
        <v>111</v>
      </c>
      <c r="H4" s="242"/>
      <c r="I4" s="242"/>
      <c r="J4" s="242"/>
      <c r="K4" s="242"/>
      <c r="L4" s="242" t="s">
        <v>112</v>
      </c>
      <c r="M4" s="242"/>
      <c r="N4" s="242"/>
      <c r="O4" s="242"/>
      <c r="P4" s="242"/>
    </row>
    <row r="5" spans="1:16">
      <c r="A5" s="7" t="s">
        <v>507</v>
      </c>
      <c r="B5" t="s">
        <v>213</v>
      </c>
      <c r="C5" s="116">
        <f>(C48-C18)*C4/1000</f>
        <v>1.1316666666666664</v>
      </c>
      <c r="G5" s="242"/>
      <c r="H5" s="242"/>
      <c r="I5" s="242"/>
      <c r="J5" s="242"/>
      <c r="K5" s="242"/>
      <c r="L5" s="194">
        <v>1</v>
      </c>
      <c r="M5" s="194">
        <v>2</v>
      </c>
      <c r="N5" s="194">
        <v>4</v>
      </c>
      <c r="O5" s="194">
        <v>6</v>
      </c>
      <c r="P5" s="194">
        <v>8</v>
      </c>
    </row>
    <row r="6" spans="1:16">
      <c r="A6" s="7" t="s">
        <v>934</v>
      </c>
      <c r="C6" s="106">
        <v>0.2</v>
      </c>
      <c r="G6" s="1">
        <v>45</v>
      </c>
      <c r="H6" t="s">
        <v>113</v>
      </c>
      <c r="I6" t="s">
        <v>114</v>
      </c>
      <c r="J6" s="1">
        <v>5</v>
      </c>
      <c r="K6" t="s">
        <v>113</v>
      </c>
      <c r="L6" s="193">
        <f>((G6-2*J6)/1000)^2*PI()/4*L5</f>
        <v>9.6211275016187424E-4</v>
      </c>
      <c r="M6" s="193">
        <f>((G6-2*J6)/1000)^2*PI()/4*M5</f>
        <v>1.9242255003237485E-3</v>
      </c>
      <c r="N6" s="193">
        <f>((G6-2*J6)/1000)^2*PI()/4*N5</f>
        <v>3.8484510006474969E-3</v>
      </c>
      <c r="O6" s="193">
        <f>((G6-2*J6)/1000)^2*PI()/4*O5</f>
        <v>5.7726765009712454E-3</v>
      </c>
      <c r="P6" s="193">
        <f>((G6-2*J6)/1000)^2*PI()/4*P5</f>
        <v>7.6969020012949939E-3</v>
      </c>
    </row>
    <row r="7" spans="1:16">
      <c r="A7" s="7"/>
      <c r="C7" s="99"/>
      <c r="G7" s="191">
        <v>57</v>
      </c>
      <c r="H7" t="s">
        <v>113</v>
      </c>
      <c r="I7" t="s">
        <v>114</v>
      </c>
      <c r="J7" s="1">
        <v>5</v>
      </c>
      <c r="K7" t="s">
        <v>113</v>
      </c>
      <c r="L7" s="193">
        <f>((G7-2*J7)/1000)^2*PI()/4*L5</f>
        <v>1.7349445429449633E-3</v>
      </c>
      <c r="M7" s="193">
        <f>((G7-2*J7)/1000)^2*PI()/4*M5</f>
        <v>3.4698890858899266E-3</v>
      </c>
      <c r="N7" s="193">
        <f>((G7-2*J7)/1000)^2*PI()/4*N5</f>
        <v>6.9397781717798531E-3</v>
      </c>
      <c r="O7" s="193">
        <f>((G7-2*J7)/1000)^2*PI()/4*O5</f>
        <v>1.0409667257669779E-2</v>
      </c>
      <c r="P7" s="193">
        <f>((G7-2*J7)/1000)^2*PI()/4*P5</f>
        <v>1.3879556343559706E-2</v>
      </c>
    </row>
    <row r="8" spans="1:16">
      <c r="A8" s="7" t="s">
        <v>928</v>
      </c>
      <c r="B8" t="s">
        <v>770</v>
      </c>
      <c r="C8" s="102">
        <v>0.73</v>
      </c>
      <c r="G8" s="191">
        <v>76</v>
      </c>
      <c r="H8" t="s">
        <v>113</v>
      </c>
      <c r="I8" t="s">
        <v>114</v>
      </c>
      <c r="J8" s="1">
        <v>5</v>
      </c>
      <c r="K8" t="s">
        <v>113</v>
      </c>
      <c r="L8" s="193">
        <f>((G8-2*J8)/1000)^2*PI()/4*L5</f>
        <v>3.4211943997592849E-3</v>
      </c>
      <c r="M8" s="193">
        <f>((G8-2*J8)/1000)^2*PI()/4*M5</f>
        <v>6.8423887995185699E-3</v>
      </c>
      <c r="N8" s="193">
        <f>((G8-2*J8)/1000)^2*PI()/4*N5</f>
        <v>1.368477759903714E-2</v>
      </c>
      <c r="O8" s="193">
        <f>((G8-2*J8)/1000)^2*PI()/4*O5</f>
        <v>2.0527166398555709E-2</v>
      </c>
      <c r="P8" s="193">
        <f>((G8-2*J8)/1000)^2*PI()/4*P5</f>
        <v>2.7369555198074279E-2</v>
      </c>
    </row>
    <row r="9" spans="1:16">
      <c r="A9" s="7" t="s">
        <v>504</v>
      </c>
      <c r="B9" t="s">
        <v>125</v>
      </c>
      <c r="C9" s="102">
        <v>231.7</v>
      </c>
      <c r="G9" s="191">
        <v>89</v>
      </c>
      <c r="H9" t="s">
        <v>113</v>
      </c>
      <c r="I9" t="s">
        <v>114</v>
      </c>
      <c r="J9" s="1">
        <v>5</v>
      </c>
      <c r="K9" t="s">
        <v>113</v>
      </c>
      <c r="L9" s="193">
        <f>((G9-2*J9)/1000)^2*PI()/4*L5</f>
        <v>4.9016699377634745E-3</v>
      </c>
      <c r="M9" s="193">
        <f>((G9-2*J9)/1000)^2*PI()/4*M5</f>
        <v>9.803339875526949E-3</v>
      </c>
      <c r="N9" s="193">
        <f>((G9-2*J9)/1000)^2*PI()/4*N5</f>
        <v>1.9606679751053898E-2</v>
      </c>
      <c r="O9" s="193">
        <f>((G9-2*J9)/1000)^2*PI()/4*O5</f>
        <v>2.9410019626580845E-2</v>
      </c>
      <c r="P9" s="193">
        <f>((G9-2*J9)/1000)^2*PI()/4*P5</f>
        <v>3.9213359502107796E-2</v>
      </c>
    </row>
    <row r="10" spans="1:16" ht="30">
      <c r="A10" s="7" t="s">
        <v>927</v>
      </c>
      <c r="C10" s="132">
        <f>f_b_000_Interpolate2D(C8,C9,Stream!C85:E85,Stream!C86:Z88,Stream!C110:Z112)</f>
        <v>0.1187568</v>
      </c>
      <c r="G10" s="191">
        <v>102</v>
      </c>
      <c r="H10" t="s">
        <v>113</v>
      </c>
      <c r="I10" t="s">
        <v>114</v>
      </c>
      <c r="J10" s="1">
        <v>5</v>
      </c>
      <c r="K10" t="s">
        <v>113</v>
      </c>
      <c r="L10" s="193">
        <f>((G10-2*J10)/1000)^2*PI()/4*L5</f>
        <v>6.6476100549960017E-3</v>
      </c>
      <c r="M10" s="193">
        <f>((G10-2*J10)/1000)^2*PI()/4*M5</f>
        <v>1.3295220109992003E-2</v>
      </c>
      <c r="N10" s="193">
        <f>((G10-2*J10)/1000)^2*PI()/4*N5</f>
        <v>2.6590440219984007E-2</v>
      </c>
      <c r="O10" s="193">
        <f>((G10-2*J10)/1000)^2*PI()/4*O5</f>
        <v>3.9885660329976008E-2</v>
      </c>
      <c r="P10" s="193">
        <f>((G10-2*J10)/1000)^2*PI()/4*P5</f>
        <v>5.3180880439968013E-2</v>
      </c>
    </row>
    <row r="11" spans="1:16">
      <c r="A11" s="7" t="s">
        <v>930</v>
      </c>
      <c r="B11" t="s">
        <v>95</v>
      </c>
      <c r="C11" s="199">
        <f>C3-C13</f>
        <v>8812.4320000000007</v>
      </c>
      <c r="G11" s="191">
        <v>108</v>
      </c>
      <c r="H11" t="s">
        <v>113</v>
      </c>
      <c r="I11" t="s">
        <v>114</v>
      </c>
      <c r="J11" s="1">
        <v>5</v>
      </c>
      <c r="K11" t="s">
        <v>113</v>
      </c>
      <c r="L11" s="193">
        <f>((G11-2*J11)/1000)^2*PI()/4*L5</f>
        <v>7.5429639612690945E-3</v>
      </c>
      <c r="M11" s="193">
        <f>((G11-2*J11)/1000)^2*PI()/4*M5</f>
        <v>1.5085927922538189E-2</v>
      </c>
      <c r="N11" s="193">
        <f>((G11-2*J11)/1000)^2*PI()/4*N5</f>
        <v>3.0171855845076378E-2</v>
      </c>
      <c r="O11" s="193">
        <f>((G11-2*J11)/1000)^2*PI()/4*O5</f>
        <v>4.5257783767614565E-2</v>
      </c>
      <c r="P11" s="193">
        <f>((G11-2*J11)/1000)^2*PI()/4*P5</f>
        <v>6.0343711690152756E-2</v>
      </c>
    </row>
    <row r="12" spans="1:16">
      <c r="A12" s="7"/>
      <c r="B12" t="s">
        <v>96</v>
      </c>
      <c r="C12" s="116">
        <f>C11/3600</f>
        <v>2.447897777777778</v>
      </c>
      <c r="G12" s="191">
        <v>114</v>
      </c>
      <c r="H12" t="s">
        <v>113</v>
      </c>
      <c r="I12" t="s">
        <v>114</v>
      </c>
      <c r="J12" s="1">
        <v>6</v>
      </c>
      <c r="K12" t="s">
        <v>113</v>
      </c>
      <c r="L12" s="193">
        <f>((G12-2*J12)/1000)^2*PI()/4*L5</f>
        <v>8.1712824919870503E-3</v>
      </c>
      <c r="M12" s="193">
        <f>((G12-2*J12)/1000)^2*PI()/4*M5</f>
        <v>1.6342564983974101E-2</v>
      </c>
      <c r="N12" s="193">
        <f>((G12-2*J12)/1000)^2*PI()/4*N5</f>
        <v>3.2685129967948201E-2</v>
      </c>
      <c r="O12" s="193">
        <f>((G12-2*J12)/1000)^2*PI()/4*O5</f>
        <v>4.9027694951922302E-2</v>
      </c>
      <c r="P12" s="193">
        <f>((G12-2*J12)/1000)^2*PI()/4*P5</f>
        <v>6.5370259935896402E-2</v>
      </c>
    </row>
    <row r="13" spans="1:16">
      <c r="A13" s="7" t="s">
        <v>931</v>
      </c>
      <c r="B13" t="s">
        <v>95</v>
      </c>
      <c r="C13" s="116">
        <f>C3*C10</f>
        <v>1187.568</v>
      </c>
      <c r="G13" s="191">
        <v>127</v>
      </c>
      <c r="H13" t="s">
        <v>113</v>
      </c>
      <c r="I13" t="s">
        <v>114</v>
      </c>
      <c r="J13" s="1">
        <v>6</v>
      </c>
      <c r="K13" t="s">
        <v>113</v>
      </c>
      <c r="L13" s="193">
        <f>((G13-2*J13)/1000)^2*PI()/4*L5</f>
        <v>1.0386890710931254E-2</v>
      </c>
      <c r="M13" s="193">
        <f>((G13-2*J13)/1000)^2*PI()/4*M5</f>
        <v>2.0773781421862508E-2</v>
      </c>
      <c r="N13" s="193">
        <f>((G13-2*J13)/1000)^2*PI()/4*N5</f>
        <v>4.1547562843725017E-2</v>
      </c>
      <c r="O13" s="193">
        <f>((G13-2*J13)/1000)^2*PI()/4*O5</f>
        <v>6.2321344265587525E-2</v>
      </c>
      <c r="P13" s="193">
        <f>((G13-2*J13)/1000)^2*PI()/4*P5</f>
        <v>8.3095125687450033E-2</v>
      </c>
    </row>
    <row r="14" spans="1:16">
      <c r="A14" s="7"/>
      <c r="B14" t="s">
        <v>96</v>
      </c>
      <c r="C14" s="128">
        <f>C13/3600</f>
        <v>0.32988000000000001</v>
      </c>
      <c r="G14" s="191">
        <v>152</v>
      </c>
      <c r="H14" t="s">
        <v>113</v>
      </c>
      <c r="I14" t="s">
        <v>114</v>
      </c>
      <c r="J14" s="1">
        <v>6</v>
      </c>
      <c r="K14" t="s">
        <v>113</v>
      </c>
      <c r="L14" s="193">
        <f>((G14-2*J14)/1000)^2*PI()/4*L5</f>
        <v>1.5393804002589988E-2</v>
      </c>
      <c r="M14" s="193">
        <f>((G14-2*J14)/1000)^2*PI()/4*M5</f>
        <v>3.0787608005179976E-2</v>
      </c>
      <c r="N14" s="193">
        <f>((G14-2*J14)/1000)^2*PI()/4*N5</f>
        <v>6.1575216010359951E-2</v>
      </c>
      <c r="O14" s="193">
        <f>((G14-2*J14)/1000)^2*PI()/4*O5</f>
        <v>9.2362824015539927E-2</v>
      </c>
      <c r="P14" s="193">
        <f>((G14-2*J14)/1000)^2*PI()/4*P5</f>
        <v>0.1231504320207199</v>
      </c>
    </row>
    <row r="15" spans="1:16">
      <c r="A15" s="7" t="s">
        <v>349</v>
      </c>
      <c r="C15" s="132">
        <f>(C14/C20)/(C14/C20+C12/C19)</f>
        <v>0.82576421774096531</v>
      </c>
      <c r="G15" s="191">
        <v>159</v>
      </c>
      <c r="H15" t="s">
        <v>113</v>
      </c>
      <c r="I15" t="s">
        <v>114</v>
      </c>
      <c r="J15" s="1">
        <v>6</v>
      </c>
      <c r="K15" t="s">
        <v>113</v>
      </c>
      <c r="L15" s="193">
        <f>((G15-2*J15)/1000)^2*PI()/4*L5</f>
        <v>1.6971668912855457E-2</v>
      </c>
      <c r="M15" s="193">
        <f>((G15-2*J15)/1000)^2*PI()/4*M5</f>
        <v>3.3943337825710913E-2</v>
      </c>
      <c r="N15" s="193">
        <f>((G15-2*J15)/1000)^2*PI()/4*N5</f>
        <v>6.7886675651421827E-2</v>
      </c>
      <c r="O15" s="193">
        <f>((G15-2*J15)/1000)^2*PI()/4*O5</f>
        <v>0.10183001347713275</v>
      </c>
      <c r="P15" s="193">
        <f>((G15-2*J15)/1000)^2*PI()/4*P5</f>
        <v>0.13577335130284365</v>
      </c>
    </row>
    <row r="16" spans="1:16">
      <c r="A16" s="7" t="s">
        <v>353</v>
      </c>
      <c r="C16" s="102">
        <v>1</v>
      </c>
      <c r="G16" s="191">
        <v>168</v>
      </c>
      <c r="H16" t="s">
        <v>113</v>
      </c>
      <c r="I16" t="s">
        <v>114</v>
      </c>
      <c r="J16" s="1">
        <v>6</v>
      </c>
      <c r="K16" t="s">
        <v>113</v>
      </c>
      <c r="L16" s="193">
        <f>((G16-2*J16)/1000)^2*PI()/4*L5</f>
        <v>1.9113449704440302E-2</v>
      </c>
      <c r="M16" s="193">
        <f>((G16-2*J16)/1000)^2*PI()/4*M5</f>
        <v>3.8226899408880605E-2</v>
      </c>
      <c r="N16" s="193">
        <f>((G16-2*J16)/1000)^2*PI()/4*N5</f>
        <v>7.6453798817761209E-2</v>
      </c>
      <c r="O16" s="193">
        <f>((G16-2*J16)/1000)^2*PI()/4*O5</f>
        <v>0.11468069822664181</v>
      </c>
      <c r="P16" s="193">
        <f>((G16-2*J16)/1000)^2*PI()/4*P5</f>
        <v>0.15290759763552242</v>
      </c>
    </row>
    <row r="17" spans="1:16">
      <c r="A17" s="7" t="s">
        <v>350</v>
      </c>
      <c r="C17" s="132">
        <f>C15*C16</f>
        <v>0.82576421774096531</v>
      </c>
      <c r="G17" s="191">
        <v>219</v>
      </c>
      <c r="H17" t="s">
        <v>113</v>
      </c>
      <c r="I17" t="s">
        <v>114</v>
      </c>
      <c r="J17" s="1">
        <v>7</v>
      </c>
      <c r="K17" t="s">
        <v>113</v>
      </c>
      <c r="L17" s="193">
        <f>((G17-2*J17)/1000)^2*PI()/4*L5</f>
        <v>3.3006357816777757E-2</v>
      </c>
      <c r="M17" s="193">
        <f>((G17-2*J17)/1000)^2*PI()/4*M5</f>
        <v>6.6012715633555513E-2</v>
      </c>
      <c r="N17" s="193">
        <f>((G17-2*J17)/1000)^2*PI()/4*N5</f>
        <v>0.13202543126711103</v>
      </c>
      <c r="O17" s="193">
        <f>((G17-2*J17)/1000)^2*PI()/4*O5</f>
        <v>0.19803814690066654</v>
      </c>
      <c r="P17" s="193">
        <f>((G17-2*J17)/1000)^2*PI()/4*P5</f>
        <v>0.26405086253422205</v>
      </c>
    </row>
    <row r="18" spans="1:16">
      <c r="A18" s="7" t="s">
        <v>855</v>
      </c>
      <c r="B18" t="s">
        <v>856</v>
      </c>
      <c r="C18" s="116">
        <f>f_b_000_Interpolate2D(C8,C9,Stream!C85:E85,Stream!C86:Z88,Stream!C107:Z109)</f>
        <v>-1565.1</v>
      </c>
      <c r="G18" s="191">
        <v>273</v>
      </c>
      <c r="H18" t="s">
        <v>113</v>
      </c>
      <c r="I18" t="s">
        <v>114</v>
      </c>
      <c r="J18" s="1">
        <v>8</v>
      </c>
      <c r="K18" t="s">
        <v>113</v>
      </c>
      <c r="L18" s="193">
        <f>((G18-2*J18)/1000)^2*PI()/4*L5</f>
        <v>5.1874763294238062E-2</v>
      </c>
      <c r="M18" s="193">
        <f>((G18-2*J18)/1000)^2*PI()/4*M5</f>
        <v>0.10374952658847612</v>
      </c>
      <c r="N18" s="193">
        <f>((G18-2*J18)/1000)^2*PI()/4*N5</f>
        <v>0.20749905317695225</v>
      </c>
      <c r="O18" s="193">
        <f>((G18-2*J18)/1000)^2*PI()/4*O5</f>
        <v>0.31124857976542836</v>
      </c>
      <c r="P18" s="193">
        <f>((G18-2*J18)/1000)^2*PI()/4*P5</f>
        <v>0.41499810635390449</v>
      </c>
    </row>
    <row r="19" spans="1:16">
      <c r="A19" s="7" t="s">
        <v>932</v>
      </c>
      <c r="B19" t="s">
        <v>207</v>
      </c>
      <c r="C19" s="116">
        <f>f_b_000_Interpolate2D(C8,C9,Stream!C85:E85,Stream!C86:Z88,Stream!C89:Z91)</f>
        <v>671.37</v>
      </c>
      <c r="G19" s="1">
        <v>325</v>
      </c>
      <c r="H19" t="s">
        <v>113</v>
      </c>
      <c r="I19" t="s">
        <v>114</v>
      </c>
      <c r="J19" s="1">
        <v>8</v>
      </c>
      <c r="K19" t="s">
        <v>113</v>
      </c>
      <c r="L19" s="193">
        <f>((G19-2*J19)/1000)^2*PI()/4*L5</f>
        <v>7.4990602039351761E-2</v>
      </c>
      <c r="M19" s="193">
        <f>((G19-2*J19)/1000)^2*PI()/4*M5</f>
        <v>0.14998120407870352</v>
      </c>
      <c r="N19" s="193">
        <f>((G19-2*J19)/1000)^2*PI()/4*N5</f>
        <v>0.29996240815740705</v>
      </c>
      <c r="O19" s="193">
        <f>((G19-2*J19)/1000)^2*PI()/4*O5</f>
        <v>0.44994361223611057</v>
      </c>
      <c r="P19" s="193">
        <f>((G19-2*J19)/1000)^2*PI()/4*P5</f>
        <v>0.59992481631481409</v>
      </c>
    </row>
    <row r="20" spans="1:16">
      <c r="A20" s="7" t="s">
        <v>933</v>
      </c>
      <c r="B20" t="s">
        <v>207</v>
      </c>
      <c r="C20" s="116">
        <f>f_b_000_Interpolate2D(C8,C9,Stream!C85:E85,Stream!C86:Z88,Stream!C113:Z115)</f>
        <v>19.09</v>
      </c>
      <c r="G20" s="1">
        <v>377</v>
      </c>
      <c r="H20" t="s">
        <v>113</v>
      </c>
      <c r="I20" t="s">
        <v>114</v>
      </c>
      <c r="J20" s="1">
        <v>8</v>
      </c>
      <c r="K20" t="s">
        <v>113</v>
      </c>
      <c r="L20" s="193">
        <f>((G20-2*J20)/1000)^2*PI()/4*L5</f>
        <v>0.10235387405211885</v>
      </c>
      <c r="M20" s="193">
        <f>((G20-2*J20)/1000)^2*PI()/4*M5</f>
        <v>0.2047077481042377</v>
      </c>
      <c r="N20" s="193">
        <f>((G20-2*J20)/1000)^2*PI()/4*N5</f>
        <v>0.40941549620847539</v>
      </c>
      <c r="O20" s="193">
        <f>((G20-2*J20)/1000)^2*PI()/4*O5</f>
        <v>0.61412324431271315</v>
      </c>
      <c r="P20" s="193">
        <f>((G20-2*J20)/1000)^2*PI()/4*P5</f>
        <v>0.81883099241695079</v>
      </c>
    </row>
    <row r="21" spans="1:16">
      <c r="A21" s="7" t="s">
        <v>947</v>
      </c>
      <c r="B21" t="s">
        <v>207</v>
      </c>
      <c r="C21" s="116">
        <f>C17*C20+(1-C17)*C19</f>
        <v>132.74051605192315</v>
      </c>
      <c r="G21" s="1">
        <v>426</v>
      </c>
      <c r="H21" t="s">
        <v>113</v>
      </c>
      <c r="I21" t="s">
        <v>114</v>
      </c>
      <c r="J21" s="1">
        <v>8</v>
      </c>
      <c r="K21" t="s">
        <v>113</v>
      </c>
      <c r="L21" s="193">
        <f>((G21-2*J21)/1000)^2*PI()/4*L5</f>
        <v>0.13202543126711103</v>
      </c>
      <c r="M21" s="193">
        <f>((G21-2*J21)/1000)^2*PI()/4*M5</f>
        <v>0.26405086253422205</v>
      </c>
      <c r="N21" s="193">
        <f>((G21-2*J21)/1000)^2*PI()/4*N5</f>
        <v>0.52810172506844411</v>
      </c>
      <c r="O21" s="193">
        <f>((G21-2*J21)/1000)^2*PI()/4*O5</f>
        <v>0.79215258760266616</v>
      </c>
      <c r="P21" s="193">
        <f>((G21-2*J21)/1000)^2*PI()/4*P5</f>
        <v>1.0562034501368882</v>
      </c>
    </row>
    <row r="22" spans="1:16">
      <c r="A22" s="7"/>
      <c r="C22" s="99"/>
    </row>
    <row r="23" spans="1:16">
      <c r="A23" s="7" t="s">
        <v>935</v>
      </c>
      <c r="B23" t="s">
        <v>770</v>
      </c>
      <c r="C23" s="130">
        <f>C8-C6*(C8-C38)</f>
        <v>0.63</v>
      </c>
    </row>
    <row r="24" spans="1:16">
      <c r="A24" s="7" t="s">
        <v>611</v>
      </c>
      <c r="B24" t="s">
        <v>125</v>
      </c>
      <c r="C24" s="116">
        <f>f_b_000_Interpolate2D(C23,C33,Stream!C85:E85,Stream!C107:Z109,Stream!C86:Z88)</f>
        <v>257.80496949152547</v>
      </c>
    </row>
    <row r="25" spans="1:16" ht="30">
      <c r="A25" s="7" t="s">
        <v>941</v>
      </c>
      <c r="C25" s="132">
        <f>f_b_000_Interpolate2D(C23,C24,Stream!C85:E85,Stream!C86:Z88,Stream!C110:Z112)</f>
        <v>0.18864292267810789</v>
      </c>
    </row>
    <row r="26" spans="1:16" ht="30">
      <c r="A26" s="7" t="s">
        <v>942</v>
      </c>
      <c r="B26" t="s">
        <v>95</v>
      </c>
      <c r="C26" s="116">
        <f>C3-C28</f>
        <v>8113.5707732189212</v>
      </c>
    </row>
    <row r="27" spans="1:16">
      <c r="A27" s="7"/>
      <c r="B27" t="s">
        <v>96</v>
      </c>
      <c r="C27" s="116">
        <f>C26/3600</f>
        <v>2.2537696592274781</v>
      </c>
    </row>
    <row r="28" spans="1:16" ht="30">
      <c r="A28" s="7" t="s">
        <v>943</v>
      </c>
      <c r="B28" t="s">
        <v>95</v>
      </c>
      <c r="C28" s="116">
        <f>C3*C25</f>
        <v>1886.429226781079</v>
      </c>
    </row>
    <row r="29" spans="1:16">
      <c r="A29" s="7"/>
      <c r="B29" t="s">
        <v>96</v>
      </c>
      <c r="C29" s="128">
        <f>C28/3600</f>
        <v>0.52400811855029972</v>
      </c>
    </row>
    <row r="30" spans="1:16">
      <c r="A30" s="7" t="s">
        <v>349</v>
      </c>
      <c r="C30" s="132">
        <f>(C29/C35)/(C29/C35+C27/C34)</f>
        <v>0.89592494490880437</v>
      </c>
    </row>
    <row r="31" spans="1:16">
      <c r="A31" s="7" t="s">
        <v>353</v>
      </c>
      <c r="C31" s="102">
        <v>1</v>
      </c>
    </row>
    <row r="32" spans="1:16">
      <c r="A32" s="7" t="s">
        <v>350</v>
      </c>
      <c r="C32" s="132">
        <f>C30*C31</f>
        <v>0.89592494490880437</v>
      </c>
    </row>
    <row r="33" spans="1:3">
      <c r="A33" s="7" t="s">
        <v>944</v>
      </c>
      <c r="B33" t="s">
        <v>856</v>
      </c>
      <c r="C33" s="116">
        <f>C18+C5*1000*C6/C4</f>
        <v>-1483.62</v>
      </c>
    </row>
    <row r="34" spans="1:3">
      <c r="A34" s="7" t="s">
        <v>945</v>
      </c>
      <c r="B34" t="s">
        <v>207</v>
      </c>
      <c r="C34" s="116">
        <f>f_b_000_Interpolate2D(C23,C24,Stream!C85:E85,Stream!C86:Z88,Stream!C89:Z91)</f>
        <v>662.09518764121697</v>
      </c>
    </row>
    <row r="35" spans="1:3">
      <c r="A35" s="7" t="s">
        <v>946</v>
      </c>
      <c r="B35" t="s">
        <v>207</v>
      </c>
      <c r="C35" s="116">
        <f>f_b_000_Interpolate2D(C23,C24,Stream!C85:E85,Stream!C86:Z88,Stream!C113:Z115)</f>
        <v>17.882323189772585</v>
      </c>
    </row>
    <row r="36" spans="1:3">
      <c r="A36" s="7" t="s">
        <v>947</v>
      </c>
      <c r="B36" t="s">
        <v>207</v>
      </c>
      <c r="C36" s="116">
        <f>C32*C35+(1-C32)*C34</f>
        <v>84.92881254801361</v>
      </c>
    </row>
    <row r="37" spans="1:3">
      <c r="A37" s="7"/>
      <c r="C37" s="99"/>
    </row>
    <row r="38" spans="1:3">
      <c r="A38" s="7" t="s">
        <v>929</v>
      </c>
      <c r="B38" t="s">
        <v>770</v>
      </c>
      <c r="C38" s="102">
        <v>0.23</v>
      </c>
    </row>
    <row r="39" spans="1:3">
      <c r="A39" s="7" t="s">
        <v>767</v>
      </c>
      <c r="B39" t="s">
        <v>125</v>
      </c>
      <c r="C39" s="102">
        <v>347</v>
      </c>
    </row>
    <row r="40" spans="1:3" ht="30">
      <c r="A40" s="7" t="s">
        <v>936</v>
      </c>
      <c r="C40" s="132">
        <f>f_b_000_Interpolate2D(C38,C39,Stream!C85:E85,Stream!C86:Z88,Stream!C110:Z112)</f>
        <v>0.6830619</v>
      </c>
    </row>
    <row r="41" spans="1:3" ht="30">
      <c r="A41" s="7" t="s">
        <v>937</v>
      </c>
      <c r="B41" t="s">
        <v>95</v>
      </c>
      <c r="C41" s="116">
        <f>C3-C43</f>
        <v>3169.3810000000003</v>
      </c>
    </row>
    <row r="42" spans="1:3">
      <c r="A42" s="7"/>
      <c r="B42" t="s">
        <v>96</v>
      </c>
      <c r="C42" s="116">
        <f>C41/3600</f>
        <v>0.88038361111111119</v>
      </c>
    </row>
    <row r="43" spans="1:3" ht="30">
      <c r="A43" s="7" t="s">
        <v>938</v>
      </c>
      <c r="B43" t="s">
        <v>95</v>
      </c>
      <c r="C43" s="116">
        <f>C3*C40</f>
        <v>6830.6189999999997</v>
      </c>
    </row>
    <row r="44" spans="1:3">
      <c r="A44" s="7"/>
      <c r="B44" t="s">
        <v>96</v>
      </c>
      <c r="C44" s="116">
        <f>C43/3600</f>
        <v>1.8973941666666665</v>
      </c>
    </row>
    <row r="45" spans="1:3">
      <c r="A45" s="7" t="s">
        <v>349</v>
      </c>
      <c r="C45" s="128">
        <f>(C44/C50)/(C44/C50+C42/C49)</f>
        <v>0.99304375391763078</v>
      </c>
    </row>
    <row r="46" spans="1:3">
      <c r="A46" s="7" t="s">
        <v>353</v>
      </c>
      <c r="C46" s="106">
        <v>1</v>
      </c>
    </row>
    <row r="47" spans="1:3">
      <c r="A47" s="7" t="s">
        <v>350</v>
      </c>
      <c r="C47" s="128">
        <f>C45*C46</f>
        <v>0.99304375391763078</v>
      </c>
    </row>
    <row r="48" spans="1:3">
      <c r="A48" s="7" t="s">
        <v>857</v>
      </c>
      <c r="B48" t="s">
        <v>856</v>
      </c>
      <c r="C48" s="116">
        <f>f_b_000_Interpolate2D(C38,C39,Stream!C85:E85,Stream!C86:Z88,Stream!C107:Z109)</f>
        <v>-1157.7</v>
      </c>
    </row>
    <row r="49" spans="1:16">
      <c r="A49" s="7" t="s">
        <v>939</v>
      </c>
      <c r="B49" t="s">
        <v>207</v>
      </c>
      <c r="C49" s="116">
        <f>f_b_000_Interpolate2D(C38,C39,Stream!C85:E85,Stream!C86:Z88,Stream!C89:Z91)</f>
        <v>639.86</v>
      </c>
    </row>
    <row r="50" spans="1:16">
      <c r="A50" s="7" t="s">
        <v>940</v>
      </c>
      <c r="B50" t="s">
        <v>207</v>
      </c>
      <c r="C50" s="116">
        <f>f_b_000_Interpolate2D(C38,C39,Stream!C85:E85,Stream!C86:Z88,Stream!C113:Z115)</f>
        <v>9.66</v>
      </c>
    </row>
    <row r="51" spans="1:16">
      <c r="A51" s="7" t="s">
        <v>947</v>
      </c>
      <c r="B51" t="s">
        <v>207</v>
      </c>
      <c r="C51" s="116">
        <f>C47*C50+(1-C47)*C49</f>
        <v>14.043826281109084</v>
      </c>
    </row>
    <row r="52" spans="1:16">
      <c r="A52" s="7"/>
      <c r="C52" s="134"/>
    </row>
    <row r="53" spans="1:16">
      <c r="A53" s="7"/>
      <c r="C53" s="20"/>
    </row>
    <row r="54" spans="1:16">
      <c r="A54" s="17" t="s">
        <v>925</v>
      </c>
      <c r="C54" s="20"/>
      <c r="G54" s="15"/>
      <c r="H54" s="15"/>
      <c r="I54" s="15"/>
      <c r="J54" s="15"/>
      <c r="K54" s="15"/>
      <c r="L54" s="242" t="s">
        <v>115</v>
      </c>
      <c r="M54" s="242"/>
      <c r="N54" s="242"/>
      <c r="O54" s="242"/>
      <c r="P54" s="242"/>
    </row>
    <row r="55" spans="1:16">
      <c r="A55" s="17"/>
      <c r="C55" s="20"/>
      <c r="G55" s="242" t="s">
        <v>111</v>
      </c>
      <c r="H55" s="242"/>
      <c r="I55" s="242"/>
      <c r="J55" s="242"/>
      <c r="K55" s="242"/>
      <c r="L55" s="242" t="s">
        <v>112</v>
      </c>
      <c r="M55" s="242"/>
      <c r="N55" s="242"/>
      <c r="O55" s="242"/>
      <c r="P55" s="242"/>
    </row>
    <row r="56" spans="1:16">
      <c r="A56" t="s">
        <v>106</v>
      </c>
      <c r="B56" t="s">
        <v>107</v>
      </c>
      <c r="C56" s="1">
        <v>196.3</v>
      </c>
      <c r="G56" s="242"/>
      <c r="H56" s="242"/>
      <c r="I56" s="242"/>
      <c r="J56" s="242"/>
      <c r="K56" s="242"/>
      <c r="L56" s="190">
        <v>1</v>
      </c>
      <c r="M56" s="190">
        <v>2</v>
      </c>
      <c r="N56" s="190">
        <v>4</v>
      </c>
      <c r="O56" s="190">
        <v>6</v>
      </c>
      <c r="P56" s="190">
        <v>8</v>
      </c>
    </row>
    <row r="57" spans="1:16">
      <c r="A57" t="s">
        <v>108</v>
      </c>
      <c r="B57" t="s">
        <v>107</v>
      </c>
      <c r="C57" s="1">
        <v>1562</v>
      </c>
      <c r="G57">
        <f>G6</f>
        <v>45</v>
      </c>
      <c r="H57" t="s">
        <v>113</v>
      </c>
      <c r="I57" t="s">
        <v>114</v>
      </c>
      <c r="J57">
        <f>J6</f>
        <v>5</v>
      </c>
      <c r="K57" t="s">
        <v>113</v>
      </c>
      <c r="L57" s="9">
        <f t="shared" ref="L57:P66" si="0">KPZ_Gm/L6</f>
        <v>2887.1645005332484</v>
      </c>
      <c r="M57" s="9">
        <f t="shared" si="0"/>
        <v>1443.5822502666242</v>
      </c>
      <c r="N57" s="9">
        <f t="shared" si="0"/>
        <v>721.79112513331211</v>
      </c>
      <c r="O57" s="9">
        <f t="shared" si="0"/>
        <v>481.19408342220805</v>
      </c>
      <c r="P57" s="9">
        <f t="shared" si="0"/>
        <v>360.89556256665605</v>
      </c>
    </row>
    <row r="58" spans="1:16">
      <c r="G58">
        <f t="shared" ref="G58:G72" si="1">G7</f>
        <v>57</v>
      </c>
      <c r="H58" t="s">
        <v>113</v>
      </c>
      <c r="I58" t="s">
        <v>114</v>
      </c>
      <c r="J58">
        <f t="shared" ref="J58:J72" si="2">J7</f>
        <v>5</v>
      </c>
      <c r="K58" t="s">
        <v>113</v>
      </c>
      <c r="L58" s="9">
        <f t="shared" si="0"/>
        <v>1601.0758321200678</v>
      </c>
      <c r="M58" s="9">
        <f t="shared" si="0"/>
        <v>800.53791606003392</v>
      </c>
      <c r="N58" s="9">
        <f t="shared" si="0"/>
        <v>400.26895803001696</v>
      </c>
      <c r="O58" s="9">
        <f t="shared" si="0"/>
        <v>266.84597202001129</v>
      </c>
      <c r="P58" s="9">
        <f t="shared" si="0"/>
        <v>200.13447901500848</v>
      </c>
    </row>
    <row r="59" spans="1:16">
      <c r="A59" t="s">
        <v>954</v>
      </c>
      <c r="B59" s="66" t="s">
        <v>249</v>
      </c>
      <c r="C59" s="1">
        <v>0.5</v>
      </c>
      <c r="G59">
        <f t="shared" si="1"/>
        <v>76</v>
      </c>
      <c r="H59" t="s">
        <v>113</v>
      </c>
      <c r="I59" t="s">
        <v>114</v>
      </c>
      <c r="J59">
        <f t="shared" si="2"/>
        <v>5</v>
      </c>
      <c r="K59" t="s">
        <v>113</v>
      </c>
      <c r="L59" s="9">
        <f t="shared" si="0"/>
        <v>811.93216555400124</v>
      </c>
      <c r="M59" s="9">
        <f t="shared" si="0"/>
        <v>405.96608277700062</v>
      </c>
      <c r="N59" s="9">
        <f t="shared" si="0"/>
        <v>202.98304138850031</v>
      </c>
      <c r="O59" s="9">
        <f t="shared" si="0"/>
        <v>135.32202759233354</v>
      </c>
      <c r="P59" s="9">
        <f t="shared" si="0"/>
        <v>101.49152069425016</v>
      </c>
    </row>
    <row r="60" spans="1:16">
      <c r="A60" t="s">
        <v>958</v>
      </c>
      <c r="B60" s="66" t="s">
        <v>249</v>
      </c>
      <c r="C60" s="1">
        <v>3</v>
      </c>
      <c r="G60">
        <f t="shared" si="1"/>
        <v>89</v>
      </c>
      <c r="H60" t="s">
        <v>113</v>
      </c>
      <c r="I60" t="s">
        <v>114</v>
      </c>
      <c r="J60">
        <f t="shared" si="2"/>
        <v>5</v>
      </c>
      <c r="K60" t="s">
        <v>113</v>
      </c>
      <c r="L60" s="9">
        <f t="shared" si="0"/>
        <v>566.70029052286975</v>
      </c>
      <c r="M60" s="9">
        <f t="shared" si="0"/>
        <v>283.35014526143488</v>
      </c>
      <c r="N60" s="9">
        <f t="shared" si="0"/>
        <v>141.67507263071744</v>
      </c>
      <c r="O60" s="9">
        <f t="shared" si="0"/>
        <v>94.450048420478296</v>
      </c>
      <c r="P60" s="9">
        <f t="shared" si="0"/>
        <v>70.837536315358719</v>
      </c>
    </row>
    <row r="61" spans="1:16">
      <c r="A61" s="7"/>
      <c r="C61" s="134"/>
      <c r="G61">
        <f t="shared" si="1"/>
        <v>102</v>
      </c>
      <c r="H61" t="s">
        <v>113</v>
      </c>
      <c r="I61" t="s">
        <v>114</v>
      </c>
      <c r="J61">
        <f t="shared" si="2"/>
        <v>5</v>
      </c>
      <c r="K61" t="s">
        <v>113</v>
      </c>
      <c r="L61" s="9">
        <f t="shared" si="0"/>
        <v>417.86111922887881</v>
      </c>
      <c r="M61" s="9">
        <f t="shared" si="0"/>
        <v>208.9305596144394</v>
      </c>
      <c r="N61" s="9">
        <f t="shared" si="0"/>
        <v>104.4652798072197</v>
      </c>
      <c r="O61" s="9">
        <f t="shared" si="0"/>
        <v>69.643519871479796</v>
      </c>
      <c r="P61" s="9">
        <f t="shared" si="0"/>
        <v>52.232639903609851</v>
      </c>
    </row>
    <row r="62" spans="1:16">
      <c r="A62" s="7" t="s">
        <v>957</v>
      </c>
      <c r="B62" t="s">
        <v>249</v>
      </c>
      <c r="C62" s="68">
        <v>0.5</v>
      </c>
      <c r="G62">
        <f t="shared" si="1"/>
        <v>108</v>
      </c>
      <c r="H62" t="s">
        <v>113</v>
      </c>
      <c r="I62" t="s">
        <v>114</v>
      </c>
      <c r="J62">
        <f t="shared" si="2"/>
        <v>5</v>
      </c>
      <c r="K62" t="s">
        <v>113</v>
      </c>
      <c r="L62" s="9">
        <f t="shared" si="0"/>
        <v>368.26077812924086</v>
      </c>
      <c r="M62" s="9">
        <f t="shared" si="0"/>
        <v>184.13038906462043</v>
      </c>
      <c r="N62" s="9">
        <f t="shared" si="0"/>
        <v>92.065194532310215</v>
      </c>
      <c r="O62" s="9">
        <f t="shared" si="0"/>
        <v>61.376796354873477</v>
      </c>
      <c r="P62" s="9">
        <f t="shared" si="0"/>
        <v>46.032597266155108</v>
      </c>
    </row>
    <row r="63" spans="1:16">
      <c r="A63" t="s">
        <v>961</v>
      </c>
      <c r="B63" t="s">
        <v>249</v>
      </c>
      <c r="C63" s="69">
        <v>3.5</v>
      </c>
      <c r="G63">
        <f t="shared" si="1"/>
        <v>114</v>
      </c>
      <c r="H63" t="s">
        <v>113</v>
      </c>
      <c r="I63" t="s">
        <v>114</v>
      </c>
      <c r="J63">
        <f t="shared" si="2"/>
        <v>6</v>
      </c>
      <c r="K63" t="s">
        <v>113</v>
      </c>
      <c r="L63" s="9">
        <f t="shared" si="0"/>
        <v>339.94391706586219</v>
      </c>
      <c r="M63" s="9">
        <f t="shared" si="0"/>
        <v>169.9719585329311</v>
      </c>
      <c r="N63" s="9">
        <f t="shared" si="0"/>
        <v>84.985979266465549</v>
      </c>
      <c r="O63" s="9">
        <f t="shared" si="0"/>
        <v>56.657319510977032</v>
      </c>
      <c r="P63" s="9">
        <f t="shared" si="0"/>
        <v>42.492989633232774</v>
      </c>
    </row>
    <row r="64" spans="1:16">
      <c r="C64" s="196"/>
      <c r="G64">
        <f t="shared" si="1"/>
        <v>127</v>
      </c>
      <c r="H64" t="s">
        <v>113</v>
      </c>
      <c r="I64" t="s">
        <v>114</v>
      </c>
      <c r="J64">
        <f t="shared" si="2"/>
        <v>6</v>
      </c>
      <c r="K64" t="s">
        <v>113</v>
      </c>
      <c r="L64" s="9">
        <f t="shared" si="0"/>
        <v>267.43111630648235</v>
      </c>
      <c r="M64" s="9">
        <f t="shared" si="0"/>
        <v>133.71555815324118</v>
      </c>
      <c r="N64" s="9">
        <f t="shared" si="0"/>
        <v>66.857779076620588</v>
      </c>
      <c r="O64" s="9">
        <f t="shared" si="0"/>
        <v>44.571852717747063</v>
      </c>
      <c r="P64" s="9">
        <f t="shared" si="0"/>
        <v>33.428889538310294</v>
      </c>
    </row>
    <row r="65" spans="1:16">
      <c r="A65" s="7" t="s">
        <v>959</v>
      </c>
      <c r="B65" t="s">
        <v>249</v>
      </c>
      <c r="C65" s="68">
        <v>0.5</v>
      </c>
      <c r="G65">
        <f t="shared" si="1"/>
        <v>152</v>
      </c>
      <c r="H65" t="s">
        <v>113</v>
      </c>
      <c r="I65" t="s">
        <v>114</v>
      </c>
      <c r="J65">
        <f t="shared" si="2"/>
        <v>6</v>
      </c>
      <c r="K65" t="s">
        <v>113</v>
      </c>
      <c r="L65" s="9">
        <f t="shared" si="0"/>
        <v>180.44778128332803</v>
      </c>
      <c r="M65" s="9">
        <f t="shared" si="0"/>
        <v>90.223890641664013</v>
      </c>
      <c r="N65" s="9">
        <f t="shared" si="0"/>
        <v>45.111945320832007</v>
      </c>
      <c r="O65" s="9">
        <f t="shared" si="0"/>
        <v>30.074630213888003</v>
      </c>
      <c r="P65" s="9">
        <f t="shared" si="0"/>
        <v>22.555972660416003</v>
      </c>
    </row>
    <row r="66" spans="1:16">
      <c r="A66" t="s">
        <v>960</v>
      </c>
      <c r="B66" t="s">
        <v>249</v>
      </c>
      <c r="C66" s="68">
        <v>10</v>
      </c>
      <c r="G66">
        <f t="shared" si="1"/>
        <v>159</v>
      </c>
      <c r="H66" t="s">
        <v>113</v>
      </c>
      <c r="I66" t="s">
        <v>114</v>
      </c>
      <c r="J66">
        <f t="shared" si="2"/>
        <v>6</v>
      </c>
      <c r="K66" t="s">
        <v>113</v>
      </c>
      <c r="L66" s="9">
        <f t="shared" si="0"/>
        <v>163.67145694632933</v>
      </c>
      <c r="M66" s="9">
        <f t="shared" si="0"/>
        <v>81.835728473164664</v>
      </c>
      <c r="N66" s="9">
        <f t="shared" si="0"/>
        <v>40.917864236582332</v>
      </c>
      <c r="O66" s="9">
        <f t="shared" si="0"/>
        <v>27.278576157721552</v>
      </c>
      <c r="P66" s="9">
        <f t="shared" si="0"/>
        <v>20.458932118291166</v>
      </c>
    </row>
    <row r="67" spans="1:16">
      <c r="A67" s="7"/>
      <c r="C67" s="134"/>
      <c r="G67">
        <f t="shared" si="1"/>
        <v>168</v>
      </c>
      <c r="H67" t="s">
        <v>113</v>
      </c>
      <c r="I67" t="s">
        <v>114</v>
      </c>
      <c r="J67">
        <f t="shared" si="2"/>
        <v>6</v>
      </c>
      <c r="K67" t="s">
        <v>113</v>
      </c>
      <c r="L67" s="9">
        <f t="shared" ref="L67:P72" si="3">KPZ_Gm/L16</f>
        <v>145.33105330182568</v>
      </c>
      <c r="M67" s="9">
        <f t="shared" si="3"/>
        <v>72.665526650912838</v>
      </c>
      <c r="N67" s="9">
        <f t="shared" si="3"/>
        <v>36.332763325456419</v>
      </c>
      <c r="O67" s="9">
        <f t="shared" si="3"/>
        <v>24.221842216970945</v>
      </c>
      <c r="P67" s="9">
        <f t="shared" si="3"/>
        <v>18.16638166272821</v>
      </c>
    </row>
    <row r="68" spans="1:16">
      <c r="A68" s="7"/>
      <c r="C68" s="134"/>
      <c r="G68">
        <f t="shared" si="1"/>
        <v>219</v>
      </c>
      <c r="H68" t="s">
        <v>113</v>
      </c>
      <c r="I68" t="s">
        <v>114</v>
      </c>
      <c r="J68">
        <f t="shared" si="2"/>
        <v>7</v>
      </c>
      <c r="K68" t="s">
        <v>113</v>
      </c>
      <c r="L68" s="9">
        <f t="shared" si="3"/>
        <v>84.158870033390372</v>
      </c>
      <c r="M68" s="9">
        <f t="shared" si="3"/>
        <v>42.079435016695186</v>
      </c>
      <c r="N68" s="9">
        <f t="shared" si="3"/>
        <v>21.039717508347593</v>
      </c>
      <c r="O68" s="9">
        <f t="shared" si="3"/>
        <v>14.026478338898396</v>
      </c>
      <c r="P68" s="9">
        <f t="shared" si="3"/>
        <v>10.519858754173796</v>
      </c>
    </row>
    <row r="69" spans="1:16">
      <c r="A69" s="7" t="s">
        <v>964</v>
      </c>
      <c r="C69" s="68">
        <v>1</v>
      </c>
      <c r="G69">
        <f t="shared" si="1"/>
        <v>273</v>
      </c>
      <c r="H69" t="s">
        <v>113</v>
      </c>
      <c r="I69" t="s">
        <v>114</v>
      </c>
      <c r="J69">
        <f t="shared" si="2"/>
        <v>8</v>
      </c>
      <c r="K69" t="s">
        <v>113</v>
      </c>
      <c r="L69" s="9">
        <f t="shared" si="3"/>
        <v>53.547767765647166</v>
      </c>
      <c r="M69" s="9">
        <f t="shared" si="3"/>
        <v>26.773883882823583</v>
      </c>
      <c r="N69" s="9">
        <f t="shared" si="3"/>
        <v>13.386941941411791</v>
      </c>
      <c r="O69" s="9">
        <f t="shared" si="3"/>
        <v>8.9246279609411943</v>
      </c>
      <c r="P69" s="9">
        <f t="shared" si="3"/>
        <v>6.6934709707058957</v>
      </c>
    </row>
    <row r="70" spans="1:16">
      <c r="A70" s="7" t="s">
        <v>963</v>
      </c>
      <c r="B70" t="s">
        <v>113</v>
      </c>
      <c r="C70" s="68">
        <v>152</v>
      </c>
      <c r="G70">
        <f t="shared" si="1"/>
        <v>325</v>
      </c>
      <c r="H70" t="s">
        <v>113</v>
      </c>
      <c r="I70" t="s">
        <v>114</v>
      </c>
      <c r="J70">
        <f t="shared" si="2"/>
        <v>8</v>
      </c>
      <c r="K70" t="s">
        <v>113</v>
      </c>
      <c r="L70" s="9">
        <f t="shared" si="3"/>
        <v>37.04167858687309</v>
      </c>
      <c r="M70" s="9">
        <f t="shared" si="3"/>
        <v>18.520839293436545</v>
      </c>
      <c r="N70" s="9">
        <f t="shared" si="3"/>
        <v>9.2604196467182724</v>
      </c>
      <c r="O70" s="9">
        <f t="shared" si="3"/>
        <v>6.1736130978121819</v>
      </c>
      <c r="P70" s="9">
        <f t="shared" si="3"/>
        <v>4.6302098233591362</v>
      </c>
    </row>
    <row r="71" spans="1:16">
      <c r="A71" s="7"/>
      <c r="C71" s="134"/>
      <c r="G71">
        <f t="shared" si="1"/>
        <v>377</v>
      </c>
      <c r="H71" t="s">
        <v>113</v>
      </c>
      <c r="I71" t="s">
        <v>114</v>
      </c>
      <c r="J71">
        <f t="shared" si="2"/>
        <v>8</v>
      </c>
      <c r="K71" t="s">
        <v>113</v>
      </c>
      <c r="L71" s="9">
        <f t="shared" si="3"/>
        <v>27.138960820997614</v>
      </c>
      <c r="M71" s="9">
        <f t="shared" si="3"/>
        <v>13.569480410498807</v>
      </c>
      <c r="N71" s="9">
        <f t="shared" si="3"/>
        <v>6.7847402052494035</v>
      </c>
      <c r="O71" s="9">
        <f t="shared" si="3"/>
        <v>4.5231601368329351</v>
      </c>
      <c r="P71" s="9">
        <f t="shared" si="3"/>
        <v>3.3923701026247017</v>
      </c>
    </row>
    <row r="72" spans="1:16">
      <c r="A72" s="7"/>
      <c r="C72" s="134"/>
      <c r="G72">
        <f t="shared" si="1"/>
        <v>426</v>
      </c>
      <c r="H72" t="s">
        <v>113</v>
      </c>
      <c r="I72" t="s">
        <v>114</v>
      </c>
      <c r="J72">
        <f t="shared" si="2"/>
        <v>8</v>
      </c>
      <c r="K72" t="s">
        <v>113</v>
      </c>
      <c r="L72" s="9">
        <f t="shared" si="3"/>
        <v>21.039717508347593</v>
      </c>
      <c r="M72" s="9">
        <f t="shared" si="3"/>
        <v>10.519858754173796</v>
      </c>
      <c r="N72" s="9">
        <f t="shared" si="3"/>
        <v>5.2599293770868982</v>
      </c>
      <c r="O72" s="9">
        <f t="shared" si="3"/>
        <v>3.5066195847245991</v>
      </c>
      <c r="P72" s="9">
        <f t="shared" si="3"/>
        <v>2.6299646885434491</v>
      </c>
    </row>
    <row r="73" spans="1:16">
      <c r="A73" s="7"/>
      <c r="C73" s="134"/>
      <c r="L73" s="9"/>
      <c r="M73" s="9"/>
      <c r="N73" s="9"/>
      <c r="O73" s="9"/>
      <c r="P73" s="9"/>
    </row>
    <row r="74" spans="1:16">
      <c r="A74" s="7"/>
      <c r="C74" s="134"/>
      <c r="L74" s="9"/>
      <c r="M74" s="9"/>
      <c r="N74" s="9"/>
      <c r="O74" s="9"/>
      <c r="P74" s="9"/>
    </row>
    <row r="75" spans="1:16">
      <c r="A75" s="7"/>
      <c r="C75" s="134"/>
      <c r="G75" s="6" t="s">
        <v>951</v>
      </c>
    </row>
    <row r="76" spans="1:16">
      <c r="A76" s="7"/>
      <c r="C76" s="134"/>
      <c r="G76" s="242" t="s">
        <v>948</v>
      </c>
      <c r="H76" s="242"/>
      <c r="I76" s="242"/>
      <c r="J76" s="242"/>
      <c r="K76" s="242"/>
      <c r="L76" s="242"/>
      <c r="M76" s="242"/>
      <c r="N76" s="242"/>
      <c r="O76" s="242"/>
      <c r="P76" s="242"/>
    </row>
    <row r="77" spans="1:16">
      <c r="A77" s="7"/>
      <c r="C77" s="134"/>
      <c r="G77" s="242" t="s">
        <v>111</v>
      </c>
      <c r="H77" s="242"/>
      <c r="I77" s="242"/>
      <c r="J77" s="242"/>
      <c r="K77" s="242"/>
      <c r="L77" s="242" t="s">
        <v>112</v>
      </c>
      <c r="M77" s="242"/>
      <c r="N77" s="242"/>
      <c r="O77" s="242"/>
      <c r="P77" s="242"/>
    </row>
    <row r="78" spans="1:16">
      <c r="A78" s="7"/>
      <c r="C78" s="134"/>
      <c r="G78" s="242"/>
      <c r="H78" s="242"/>
      <c r="I78" s="242"/>
      <c r="J78" s="242"/>
      <c r="K78" s="242"/>
      <c r="L78" s="190">
        <v>1</v>
      </c>
      <c r="M78" s="190">
        <v>2</v>
      </c>
      <c r="N78" s="190">
        <v>4</v>
      </c>
      <c r="O78" s="190">
        <v>6</v>
      </c>
      <c r="P78" s="190">
        <v>8</v>
      </c>
    </row>
    <row r="79" spans="1:16">
      <c r="A79" s="7"/>
      <c r="C79" s="134"/>
      <c r="G79">
        <f>G6</f>
        <v>45</v>
      </c>
      <c r="H79" t="s">
        <v>113</v>
      </c>
      <c r="I79" t="s">
        <v>114</v>
      </c>
      <c r="J79">
        <f>J6</f>
        <v>5</v>
      </c>
      <c r="K79" t="s">
        <v>113</v>
      </c>
      <c r="L79" s="9">
        <f t="shared" ref="L79:P88" si="4">KPZ_Gm/KPZ_ro1_kz/L6</f>
        <v>4.3004073767568531</v>
      </c>
      <c r="M79" s="9">
        <f t="shared" si="4"/>
        <v>2.1502036883784266</v>
      </c>
      <c r="N79" s="9">
        <f t="shared" si="4"/>
        <v>1.0751018441892133</v>
      </c>
      <c r="O79" s="9">
        <f t="shared" si="4"/>
        <v>0.71673456279280878</v>
      </c>
      <c r="P79" s="9">
        <f t="shared" si="4"/>
        <v>0.53755092209460664</v>
      </c>
    </row>
    <row r="80" spans="1:16">
      <c r="A80" s="7"/>
      <c r="C80" s="134"/>
      <c r="G80">
        <f t="shared" ref="G80:G94" si="5">G7</f>
        <v>57</v>
      </c>
      <c r="H80" t="s">
        <v>113</v>
      </c>
      <c r="I80" t="s">
        <v>114</v>
      </c>
      <c r="J80">
        <f t="shared" ref="J80:J94" si="6">J7</f>
        <v>5</v>
      </c>
      <c r="K80" t="s">
        <v>113</v>
      </c>
      <c r="L80" s="9">
        <f t="shared" si="4"/>
        <v>2.3847890613522615</v>
      </c>
      <c r="M80" s="9">
        <f t="shared" si="4"/>
        <v>1.1923945306761308</v>
      </c>
      <c r="N80" s="9">
        <f t="shared" si="4"/>
        <v>0.59619726533806539</v>
      </c>
      <c r="O80" s="9">
        <f t="shared" si="4"/>
        <v>0.39746484355871026</v>
      </c>
      <c r="P80" s="9">
        <f t="shared" si="4"/>
        <v>0.29809863266903269</v>
      </c>
    </row>
    <row r="81" spans="1:16">
      <c r="A81" s="7"/>
      <c r="C81" s="134"/>
      <c r="G81">
        <f t="shared" si="5"/>
        <v>76</v>
      </c>
      <c r="H81" t="s">
        <v>113</v>
      </c>
      <c r="I81" t="s">
        <v>114</v>
      </c>
      <c r="J81">
        <f t="shared" si="6"/>
        <v>5</v>
      </c>
      <c r="K81" t="s">
        <v>113</v>
      </c>
      <c r="L81" s="9">
        <f t="shared" si="4"/>
        <v>1.2093661700016403</v>
      </c>
      <c r="M81" s="9">
        <f t="shared" si="4"/>
        <v>0.60468308500082013</v>
      </c>
      <c r="N81" s="9">
        <f t="shared" si="4"/>
        <v>0.30234154250041007</v>
      </c>
      <c r="O81" s="9">
        <f t="shared" si="4"/>
        <v>0.20156102833360673</v>
      </c>
      <c r="P81" s="9">
        <f t="shared" si="4"/>
        <v>0.15117077125020503</v>
      </c>
    </row>
    <row r="82" spans="1:16">
      <c r="A82" s="7"/>
      <c r="C82" s="134"/>
      <c r="G82">
        <f t="shared" si="5"/>
        <v>89</v>
      </c>
      <c r="H82" t="s">
        <v>113</v>
      </c>
      <c r="I82" t="s">
        <v>114</v>
      </c>
      <c r="J82">
        <f t="shared" si="6"/>
        <v>5</v>
      </c>
      <c r="K82" t="s">
        <v>113</v>
      </c>
      <c r="L82" s="9">
        <f t="shared" si="4"/>
        <v>0.84409534313846268</v>
      </c>
      <c r="M82" s="9">
        <f t="shared" si="4"/>
        <v>0.42204767156923134</v>
      </c>
      <c r="N82" s="9">
        <f t="shared" si="4"/>
        <v>0.21102383578461567</v>
      </c>
      <c r="O82" s="9">
        <f t="shared" si="4"/>
        <v>0.14068255718974379</v>
      </c>
      <c r="P82" s="9">
        <f t="shared" si="4"/>
        <v>0.10551191789230784</v>
      </c>
    </row>
    <row r="83" spans="1:16">
      <c r="A83" s="7"/>
      <c r="C83" s="134"/>
      <c r="G83">
        <f t="shared" si="5"/>
        <v>102</v>
      </c>
      <c r="H83" t="s">
        <v>113</v>
      </c>
      <c r="I83" t="s">
        <v>114</v>
      </c>
      <c r="J83">
        <f t="shared" si="6"/>
        <v>5</v>
      </c>
      <c r="K83" t="s">
        <v>113</v>
      </c>
      <c r="L83" s="9">
        <f t="shared" si="4"/>
        <v>0.62240064231180836</v>
      </c>
      <c r="M83" s="9">
        <f t="shared" si="4"/>
        <v>0.31120032115590418</v>
      </c>
      <c r="N83" s="9">
        <f t="shared" si="4"/>
        <v>0.15560016057795209</v>
      </c>
      <c r="O83" s="9">
        <f t="shared" si="4"/>
        <v>0.1037334403853014</v>
      </c>
      <c r="P83" s="9">
        <f t="shared" si="4"/>
        <v>7.7800080288976045E-2</v>
      </c>
    </row>
    <row r="84" spans="1:16">
      <c r="A84" s="7"/>
      <c r="C84" s="134"/>
      <c r="G84">
        <f t="shared" si="5"/>
        <v>108</v>
      </c>
      <c r="H84" t="s">
        <v>113</v>
      </c>
      <c r="I84" t="s">
        <v>114</v>
      </c>
      <c r="J84">
        <f t="shared" si="6"/>
        <v>5</v>
      </c>
      <c r="K84" t="s">
        <v>113</v>
      </c>
      <c r="L84" s="9">
        <f t="shared" si="4"/>
        <v>0.54852134907612915</v>
      </c>
      <c r="M84" s="9">
        <f t="shared" si="4"/>
        <v>0.27426067453806457</v>
      </c>
      <c r="N84" s="9">
        <f t="shared" si="4"/>
        <v>0.13713033726903229</v>
      </c>
      <c r="O84" s="9">
        <f t="shared" si="4"/>
        <v>9.1420224846021539E-2</v>
      </c>
      <c r="P84" s="9">
        <f t="shared" si="4"/>
        <v>6.8565168634516144E-2</v>
      </c>
    </row>
    <row r="85" spans="1:16">
      <c r="A85" s="7"/>
      <c r="C85" s="134"/>
      <c r="G85">
        <f t="shared" si="5"/>
        <v>114</v>
      </c>
      <c r="H85" t="s">
        <v>113</v>
      </c>
      <c r="I85" t="s">
        <v>114</v>
      </c>
      <c r="J85">
        <f t="shared" si="6"/>
        <v>6</v>
      </c>
      <c r="K85" t="s">
        <v>113</v>
      </c>
      <c r="L85" s="9">
        <f t="shared" si="4"/>
        <v>0.50634362135016786</v>
      </c>
      <c r="M85" s="9">
        <f t="shared" si="4"/>
        <v>0.25317181067508393</v>
      </c>
      <c r="N85" s="9">
        <f t="shared" si="4"/>
        <v>0.12658590533754197</v>
      </c>
      <c r="O85" s="9">
        <f t="shared" si="4"/>
        <v>8.439060355836131E-2</v>
      </c>
      <c r="P85" s="9">
        <f t="shared" si="4"/>
        <v>6.3292952668770983E-2</v>
      </c>
    </row>
    <row r="86" spans="1:16">
      <c r="A86" s="7"/>
      <c r="C86" s="134"/>
      <c r="G86">
        <f t="shared" si="5"/>
        <v>127</v>
      </c>
      <c r="H86" t="s">
        <v>113</v>
      </c>
      <c r="I86" t="s">
        <v>114</v>
      </c>
      <c r="J86">
        <f t="shared" si="6"/>
        <v>6</v>
      </c>
      <c r="K86" t="s">
        <v>113</v>
      </c>
      <c r="L86" s="9">
        <f t="shared" si="4"/>
        <v>0.39833641107955731</v>
      </c>
      <c r="M86" s="9">
        <f t="shared" si="4"/>
        <v>0.19916820553977865</v>
      </c>
      <c r="N86" s="9">
        <f t="shared" si="4"/>
        <v>9.9584102769889327E-2</v>
      </c>
      <c r="O86" s="9">
        <f t="shared" si="4"/>
        <v>6.638940184659288E-2</v>
      </c>
      <c r="P86" s="9">
        <f t="shared" si="4"/>
        <v>4.9792051384944663E-2</v>
      </c>
    </row>
    <row r="87" spans="1:16">
      <c r="A87" s="7"/>
      <c r="C87" s="134"/>
      <c r="G87">
        <f t="shared" si="5"/>
        <v>152</v>
      </c>
      <c r="H87" t="s">
        <v>113</v>
      </c>
      <c r="I87" t="s">
        <v>114</v>
      </c>
      <c r="J87">
        <f t="shared" si="6"/>
        <v>6</v>
      </c>
      <c r="K87" t="s">
        <v>113</v>
      </c>
      <c r="L87" s="9">
        <f t="shared" si="4"/>
        <v>0.26877546104730332</v>
      </c>
      <c r="M87" s="9">
        <f t="shared" si="4"/>
        <v>0.13438773052365166</v>
      </c>
      <c r="N87" s="9">
        <f t="shared" si="4"/>
        <v>6.719386526182583E-2</v>
      </c>
      <c r="O87" s="9">
        <f t="shared" si="4"/>
        <v>4.4795910174550549E-2</v>
      </c>
      <c r="P87" s="9">
        <f t="shared" si="4"/>
        <v>3.3596932630912915E-2</v>
      </c>
    </row>
    <row r="88" spans="1:16">
      <c r="A88" s="7"/>
      <c r="C88" s="134"/>
      <c r="G88">
        <f t="shared" si="5"/>
        <v>159</v>
      </c>
      <c r="H88" t="s">
        <v>113</v>
      </c>
      <c r="I88" t="s">
        <v>114</v>
      </c>
      <c r="J88">
        <f t="shared" si="6"/>
        <v>6</v>
      </c>
      <c r="K88" t="s">
        <v>113</v>
      </c>
      <c r="L88" s="9">
        <f t="shared" si="4"/>
        <v>0.24378726625605748</v>
      </c>
      <c r="M88" s="9">
        <f t="shared" si="4"/>
        <v>0.12189363312802874</v>
      </c>
      <c r="N88" s="9">
        <f t="shared" si="4"/>
        <v>6.0946816564014371E-2</v>
      </c>
      <c r="O88" s="9">
        <f t="shared" si="4"/>
        <v>4.0631211042676245E-2</v>
      </c>
      <c r="P88" s="9">
        <f t="shared" si="4"/>
        <v>3.0473408282007185E-2</v>
      </c>
    </row>
    <row r="89" spans="1:16">
      <c r="A89" s="7"/>
      <c r="C89" s="134"/>
      <c r="G89">
        <f t="shared" si="5"/>
        <v>168</v>
      </c>
      <c r="H89" t="s">
        <v>113</v>
      </c>
      <c r="I89" t="s">
        <v>114</v>
      </c>
      <c r="J89">
        <f t="shared" si="6"/>
        <v>6</v>
      </c>
      <c r="K89" t="s">
        <v>113</v>
      </c>
      <c r="L89" s="9">
        <f t="shared" ref="L89:P94" si="7">KPZ_Gm/KPZ_ro1_kz/L16</f>
        <v>0.21646938841745336</v>
      </c>
      <c r="M89" s="9">
        <f t="shared" si="7"/>
        <v>0.10823469420872668</v>
      </c>
      <c r="N89" s="9">
        <f t="shared" si="7"/>
        <v>5.4117347104363341E-2</v>
      </c>
      <c r="O89" s="9">
        <f t="shared" si="7"/>
        <v>3.6078231402908896E-2</v>
      </c>
      <c r="P89" s="9">
        <f t="shared" si="7"/>
        <v>2.705867355218167E-2</v>
      </c>
    </row>
    <row r="90" spans="1:16">
      <c r="A90" s="7"/>
      <c r="C90" s="134"/>
      <c r="G90">
        <f t="shared" si="5"/>
        <v>219</v>
      </c>
      <c r="H90" t="s">
        <v>113</v>
      </c>
      <c r="I90" t="s">
        <v>114</v>
      </c>
      <c r="J90">
        <f t="shared" si="6"/>
        <v>7</v>
      </c>
      <c r="K90" t="s">
        <v>113</v>
      </c>
      <c r="L90" s="9">
        <f t="shared" si="7"/>
        <v>0.12535393305240086</v>
      </c>
      <c r="M90" s="9">
        <f t="shared" si="7"/>
        <v>6.2676966526200431E-2</v>
      </c>
      <c r="N90" s="9">
        <f t="shared" si="7"/>
        <v>3.1338483263100216E-2</v>
      </c>
      <c r="O90" s="9">
        <f t="shared" si="7"/>
        <v>2.0892322175400144E-2</v>
      </c>
      <c r="P90" s="9">
        <f t="shared" si="7"/>
        <v>1.5669241631550108E-2</v>
      </c>
    </row>
    <row r="91" spans="1:16">
      <c r="A91" s="7"/>
      <c r="C91" s="134"/>
      <c r="G91">
        <f t="shared" si="5"/>
        <v>273</v>
      </c>
      <c r="H91" t="s">
        <v>113</v>
      </c>
      <c r="I91" t="s">
        <v>114</v>
      </c>
      <c r="J91">
        <f t="shared" si="6"/>
        <v>8</v>
      </c>
      <c r="K91" t="s">
        <v>113</v>
      </c>
      <c r="L91" s="9">
        <f t="shared" si="7"/>
        <v>7.9758952240414627E-2</v>
      </c>
      <c r="M91" s="9">
        <f t="shared" si="7"/>
        <v>3.9879476120207313E-2</v>
      </c>
      <c r="N91" s="9">
        <f t="shared" si="7"/>
        <v>1.9939738060103657E-2</v>
      </c>
      <c r="O91" s="9">
        <f t="shared" si="7"/>
        <v>1.3293158706735772E-2</v>
      </c>
      <c r="P91" s="9">
        <f t="shared" si="7"/>
        <v>9.9698690300518283E-3</v>
      </c>
    </row>
    <row r="92" spans="1:16">
      <c r="A92" s="7"/>
      <c r="C92" s="134"/>
      <c r="G92">
        <f t="shared" si="5"/>
        <v>325</v>
      </c>
      <c r="H92" t="s">
        <v>113</v>
      </c>
      <c r="I92" t="s">
        <v>114</v>
      </c>
      <c r="J92">
        <f t="shared" si="6"/>
        <v>8</v>
      </c>
      <c r="K92" t="s">
        <v>113</v>
      </c>
      <c r="L92" s="9">
        <f t="shared" si="7"/>
        <v>5.5173270457233851E-2</v>
      </c>
      <c r="M92" s="9">
        <f t="shared" si="7"/>
        <v>2.7586635228616926E-2</v>
      </c>
      <c r="N92" s="9">
        <f t="shared" si="7"/>
        <v>1.3793317614308463E-2</v>
      </c>
      <c r="O92" s="9">
        <f t="shared" si="7"/>
        <v>9.1955450762056419E-3</v>
      </c>
      <c r="P92" s="9">
        <f t="shared" si="7"/>
        <v>6.8966588071542314E-3</v>
      </c>
    </row>
    <row r="93" spans="1:16">
      <c r="A93" s="7"/>
      <c r="C93" s="134"/>
      <c r="G93">
        <f t="shared" si="5"/>
        <v>377</v>
      </c>
      <c r="H93" t="s">
        <v>113</v>
      </c>
      <c r="I93" t="s">
        <v>114</v>
      </c>
      <c r="J93">
        <f t="shared" si="6"/>
        <v>8</v>
      </c>
      <c r="K93" t="s">
        <v>113</v>
      </c>
      <c r="L93" s="9">
        <f t="shared" si="7"/>
        <v>4.0423255166298189E-2</v>
      </c>
      <c r="M93" s="9">
        <f t="shared" si="7"/>
        <v>2.0211627583149094E-2</v>
      </c>
      <c r="N93" s="9">
        <f t="shared" si="7"/>
        <v>1.0105813791574547E-2</v>
      </c>
      <c r="O93" s="9">
        <f t="shared" si="7"/>
        <v>6.7372091943830306E-3</v>
      </c>
      <c r="P93" s="9">
        <f t="shared" si="7"/>
        <v>5.0529068957872736E-3</v>
      </c>
    </row>
    <row r="94" spans="1:16">
      <c r="A94" s="7"/>
      <c r="C94" s="134"/>
      <c r="G94">
        <f t="shared" si="5"/>
        <v>426</v>
      </c>
      <c r="H94" t="s">
        <v>113</v>
      </c>
      <c r="I94" t="s">
        <v>114</v>
      </c>
      <c r="J94">
        <f t="shared" si="6"/>
        <v>8</v>
      </c>
      <c r="K94" t="s">
        <v>113</v>
      </c>
      <c r="L94" s="9">
        <f t="shared" si="7"/>
        <v>3.1338483263100216E-2</v>
      </c>
      <c r="M94" s="9">
        <f t="shared" si="7"/>
        <v>1.5669241631550108E-2</v>
      </c>
      <c r="N94" s="9">
        <f t="shared" si="7"/>
        <v>7.8346208157750539E-3</v>
      </c>
      <c r="O94" s="9">
        <f t="shared" si="7"/>
        <v>5.2230805438500359E-3</v>
      </c>
      <c r="P94" s="9">
        <f t="shared" si="7"/>
        <v>3.9173104078875269E-3</v>
      </c>
    </row>
    <row r="95" spans="1:16">
      <c r="A95" s="7"/>
      <c r="C95" s="134"/>
    </row>
    <row r="96" spans="1:16">
      <c r="A96" s="7"/>
      <c r="C96" s="134"/>
      <c r="G96" s="242" t="s">
        <v>949</v>
      </c>
      <c r="H96" s="242"/>
      <c r="I96" s="242"/>
      <c r="J96" s="242"/>
      <c r="K96" s="242"/>
      <c r="L96" s="242"/>
      <c r="M96" s="242"/>
      <c r="N96" s="242"/>
      <c r="O96" s="242"/>
      <c r="P96" s="242"/>
    </row>
    <row r="97" spans="1:16">
      <c r="A97" s="7"/>
      <c r="C97" s="134"/>
      <c r="G97" s="242" t="s">
        <v>111</v>
      </c>
      <c r="H97" s="242"/>
      <c r="I97" s="242"/>
      <c r="J97" s="242"/>
      <c r="K97" s="242"/>
      <c r="L97" s="242" t="s">
        <v>112</v>
      </c>
      <c r="M97" s="242"/>
      <c r="N97" s="242"/>
      <c r="O97" s="242"/>
      <c r="P97" s="242"/>
    </row>
    <row r="98" spans="1:16">
      <c r="A98" s="7"/>
      <c r="C98" s="134"/>
      <c r="G98" s="242"/>
      <c r="H98" s="242"/>
      <c r="I98" s="242"/>
      <c r="J98" s="242"/>
      <c r="K98" s="242"/>
      <c r="L98" s="190">
        <v>1</v>
      </c>
      <c r="M98" s="190">
        <v>2</v>
      </c>
      <c r="N98" s="190">
        <v>4</v>
      </c>
      <c r="O98" s="190">
        <v>6</v>
      </c>
      <c r="P98" s="190">
        <v>8</v>
      </c>
    </row>
    <row r="99" spans="1:16">
      <c r="A99" s="7"/>
      <c r="C99" s="134"/>
      <c r="G99">
        <f>G6</f>
        <v>45</v>
      </c>
      <c r="H99" t="s">
        <v>113</v>
      </c>
      <c r="I99" t="s">
        <v>114</v>
      </c>
      <c r="J99">
        <f>J6</f>
        <v>5</v>
      </c>
      <c r="K99" t="s">
        <v>113</v>
      </c>
      <c r="L99" s="9">
        <f t="shared" ref="L99:P108" si="8">KPZ_Gm/KPZ_ro2_kz/L6</f>
        <v>151.23962810546089</v>
      </c>
      <c r="M99" s="9">
        <f t="shared" si="8"/>
        <v>75.619814052730447</v>
      </c>
      <c r="N99" s="9">
        <f t="shared" si="8"/>
        <v>37.809907026365224</v>
      </c>
      <c r="O99" s="9">
        <f t="shared" si="8"/>
        <v>25.206604684243484</v>
      </c>
      <c r="P99" s="9">
        <f t="shared" si="8"/>
        <v>18.904953513182612</v>
      </c>
    </row>
    <row r="100" spans="1:16">
      <c r="A100" s="7"/>
      <c r="C100" s="134"/>
      <c r="G100">
        <f t="shared" ref="G100:G114" si="9">G7</f>
        <v>57</v>
      </c>
      <c r="H100" t="s">
        <v>113</v>
      </c>
      <c r="I100" t="s">
        <v>114</v>
      </c>
      <c r="J100">
        <f t="shared" ref="J100:J114" si="10">J7</f>
        <v>5</v>
      </c>
      <c r="K100" t="s">
        <v>113</v>
      </c>
      <c r="L100" s="9">
        <f t="shared" si="8"/>
        <v>83.869870723942782</v>
      </c>
      <c r="M100" s="9">
        <f t="shared" si="8"/>
        <v>41.934935361971391</v>
      </c>
      <c r="N100" s="9">
        <f t="shared" si="8"/>
        <v>20.967467680985695</v>
      </c>
      <c r="O100" s="9">
        <f t="shared" si="8"/>
        <v>13.978311787323799</v>
      </c>
      <c r="P100" s="9">
        <f t="shared" si="8"/>
        <v>10.483733840492848</v>
      </c>
    </row>
    <row r="101" spans="1:16">
      <c r="A101" s="7"/>
      <c r="C101" s="134"/>
      <c r="G101">
        <f t="shared" si="9"/>
        <v>76</v>
      </c>
      <c r="H101" t="s">
        <v>113</v>
      </c>
      <c r="I101" t="s">
        <v>114</v>
      </c>
      <c r="J101">
        <f t="shared" si="10"/>
        <v>5</v>
      </c>
      <c r="K101" t="s">
        <v>113</v>
      </c>
      <c r="L101" s="9">
        <f t="shared" si="8"/>
        <v>42.531805424515518</v>
      </c>
      <c r="M101" s="9">
        <f t="shared" si="8"/>
        <v>21.265902712257759</v>
      </c>
      <c r="N101" s="9">
        <f t="shared" si="8"/>
        <v>10.63295135612888</v>
      </c>
      <c r="O101" s="9">
        <f t="shared" si="8"/>
        <v>7.0886342374192539</v>
      </c>
      <c r="P101" s="9">
        <f t="shared" si="8"/>
        <v>5.3164756780644398</v>
      </c>
    </row>
    <row r="102" spans="1:16">
      <c r="A102" s="7"/>
      <c r="C102" s="134"/>
      <c r="G102">
        <f t="shared" si="9"/>
        <v>89</v>
      </c>
      <c r="H102" t="s">
        <v>113</v>
      </c>
      <c r="I102" t="s">
        <v>114</v>
      </c>
      <c r="J102">
        <f t="shared" si="10"/>
        <v>5</v>
      </c>
      <c r="K102" t="s">
        <v>113</v>
      </c>
      <c r="L102" s="9">
        <f t="shared" si="8"/>
        <v>29.68571453760449</v>
      </c>
      <c r="M102" s="9">
        <f t="shared" si="8"/>
        <v>14.842857268802245</v>
      </c>
      <c r="N102" s="9">
        <f t="shared" si="8"/>
        <v>7.4214286344011224</v>
      </c>
      <c r="O102" s="9">
        <f t="shared" si="8"/>
        <v>4.9476190896007486</v>
      </c>
      <c r="P102" s="9">
        <f t="shared" si="8"/>
        <v>3.7107143172005612</v>
      </c>
    </row>
    <row r="103" spans="1:16">
      <c r="A103" s="7"/>
      <c r="C103" s="134"/>
      <c r="G103">
        <f t="shared" si="9"/>
        <v>102</v>
      </c>
      <c r="H103" t="s">
        <v>113</v>
      </c>
      <c r="I103" t="s">
        <v>114</v>
      </c>
      <c r="J103">
        <f t="shared" si="10"/>
        <v>5</v>
      </c>
      <c r="K103" t="s">
        <v>113</v>
      </c>
      <c r="L103" s="9">
        <f t="shared" si="8"/>
        <v>21.889005721785164</v>
      </c>
      <c r="M103" s="9">
        <f t="shared" si="8"/>
        <v>10.944502860892582</v>
      </c>
      <c r="N103" s="9">
        <f t="shared" si="8"/>
        <v>5.472251430446291</v>
      </c>
      <c r="O103" s="9">
        <f t="shared" si="8"/>
        <v>3.6481676202975275</v>
      </c>
      <c r="P103" s="9">
        <f t="shared" si="8"/>
        <v>2.7361257152231455</v>
      </c>
    </row>
    <row r="104" spans="1:16">
      <c r="A104" s="7"/>
      <c r="C104" s="134"/>
      <c r="G104">
        <f t="shared" si="9"/>
        <v>108</v>
      </c>
      <c r="H104" t="s">
        <v>113</v>
      </c>
      <c r="I104" t="s">
        <v>114</v>
      </c>
      <c r="J104">
        <f t="shared" si="10"/>
        <v>5</v>
      </c>
      <c r="K104" t="s">
        <v>113</v>
      </c>
      <c r="L104" s="9">
        <f t="shared" si="8"/>
        <v>19.290768891002664</v>
      </c>
      <c r="M104" s="9">
        <f t="shared" si="8"/>
        <v>9.6453844455013318</v>
      </c>
      <c r="N104" s="9">
        <f t="shared" si="8"/>
        <v>4.8226922227506659</v>
      </c>
      <c r="O104" s="9">
        <f t="shared" si="8"/>
        <v>3.2151281485004439</v>
      </c>
      <c r="P104" s="9">
        <f t="shared" si="8"/>
        <v>2.4113461113753329</v>
      </c>
    </row>
    <row r="105" spans="1:16">
      <c r="A105" s="7"/>
      <c r="C105" s="134"/>
      <c r="G105">
        <f t="shared" si="9"/>
        <v>114</v>
      </c>
      <c r="H105" t="s">
        <v>113</v>
      </c>
      <c r="I105" t="s">
        <v>114</v>
      </c>
      <c r="J105">
        <f t="shared" si="10"/>
        <v>6</v>
      </c>
      <c r="K105" t="s">
        <v>113</v>
      </c>
      <c r="L105" s="9">
        <f t="shared" si="8"/>
        <v>17.807434105073977</v>
      </c>
      <c r="M105" s="9">
        <f t="shared" si="8"/>
        <v>8.9037170525369884</v>
      </c>
      <c r="N105" s="9">
        <f t="shared" si="8"/>
        <v>4.4518585262684942</v>
      </c>
      <c r="O105" s="9">
        <f t="shared" si="8"/>
        <v>2.9679056841789961</v>
      </c>
      <c r="P105" s="9">
        <f t="shared" si="8"/>
        <v>2.2259292631342471</v>
      </c>
    </row>
    <row r="106" spans="1:16">
      <c r="A106" s="7"/>
      <c r="C106" s="134"/>
      <c r="G106">
        <f t="shared" si="9"/>
        <v>127</v>
      </c>
      <c r="H106" t="s">
        <v>113</v>
      </c>
      <c r="I106" t="s">
        <v>114</v>
      </c>
      <c r="J106">
        <f t="shared" si="10"/>
        <v>6</v>
      </c>
      <c r="K106" t="s">
        <v>113</v>
      </c>
      <c r="L106" s="9">
        <f t="shared" si="8"/>
        <v>14.008963661942502</v>
      </c>
      <c r="M106" s="9">
        <f t="shared" si="8"/>
        <v>7.0044818309712511</v>
      </c>
      <c r="N106" s="9">
        <f t="shared" si="8"/>
        <v>3.5022409154856255</v>
      </c>
      <c r="O106" s="9">
        <f t="shared" si="8"/>
        <v>2.334827276990417</v>
      </c>
      <c r="P106" s="9">
        <f t="shared" si="8"/>
        <v>1.7511204577428128</v>
      </c>
    </row>
    <row r="107" spans="1:16">
      <c r="A107" s="7"/>
      <c r="C107" s="134"/>
      <c r="G107">
        <f t="shared" si="9"/>
        <v>152</v>
      </c>
      <c r="H107" t="s">
        <v>113</v>
      </c>
      <c r="I107" t="s">
        <v>114</v>
      </c>
      <c r="J107">
        <f t="shared" si="10"/>
        <v>6</v>
      </c>
      <c r="K107" t="s">
        <v>113</v>
      </c>
      <c r="L107" s="9">
        <f t="shared" si="8"/>
        <v>9.4524767565913059</v>
      </c>
      <c r="M107" s="9">
        <f t="shared" si="8"/>
        <v>4.726238378295653</v>
      </c>
      <c r="N107" s="9">
        <f t="shared" si="8"/>
        <v>2.3631191891478265</v>
      </c>
      <c r="O107" s="9">
        <f t="shared" si="8"/>
        <v>1.5754127927652177</v>
      </c>
      <c r="P107" s="9">
        <f t="shared" si="8"/>
        <v>1.1815595945739132</v>
      </c>
    </row>
    <row r="108" spans="1:16">
      <c r="A108" s="7"/>
      <c r="C108" s="134"/>
      <c r="G108">
        <f t="shared" si="9"/>
        <v>159</v>
      </c>
      <c r="H108" t="s">
        <v>113</v>
      </c>
      <c r="I108" t="s">
        <v>114</v>
      </c>
      <c r="J108">
        <f t="shared" si="10"/>
        <v>6</v>
      </c>
      <c r="K108" t="s">
        <v>113</v>
      </c>
      <c r="L108" s="9">
        <f t="shared" si="8"/>
        <v>8.5736750626678528</v>
      </c>
      <c r="M108" s="9">
        <f t="shared" si="8"/>
        <v>4.2868375313339264</v>
      </c>
      <c r="N108" s="9">
        <f t="shared" si="8"/>
        <v>2.1434187656669632</v>
      </c>
      <c r="O108" s="9">
        <f t="shared" si="8"/>
        <v>1.4289458437779754</v>
      </c>
      <c r="P108" s="9">
        <f t="shared" si="8"/>
        <v>1.0717093828334816</v>
      </c>
    </row>
    <row r="109" spans="1:16">
      <c r="A109" s="7"/>
      <c r="C109" s="134"/>
      <c r="G109">
        <f t="shared" si="9"/>
        <v>168</v>
      </c>
      <c r="H109" t="s">
        <v>113</v>
      </c>
      <c r="I109" t="s">
        <v>114</v>
      </c>
      <c r="J109">
        <f t="shared" si="10"/>
        <v>6</v>
      </c>
      <c r="K109" t="s">
        <v>113</v>
      </c>
      <c r="L109" s="9">
        <f t="shared" ref="L109:P114" si="11">KPZ_Gm/KPZ_ro2_kz/L16</f>
        <v>7.6129415035005588</v>
      </c>
      <c r="M109" s="9">
        <f t="shared" si="11"/>
        <v>3.8064707517502794</v>
      </c>
      <c r="N109" s="9">
        <f t="shared" si="11"/>
        <v>1.9032353758751397</v>
      </c>
      <c r="O109" s="9">
        <f t="shared" si="11"/>
        <v>1.2688235839167599</v>
      </c>
      <c r="P109" s="9">
        <f t="shared" si="11"/>
        <v>0.95161768793756984</v>
      </c>
    </row>
    <row r="110" spans="1:16">
      <c r="A110" s="7"/>
      <c r="C110" s="134"/>
      <c r="G110">
        <f t="shared" si="9"/>
        <v>219</v>
      </c>
      <c r="H110" t="s">
        <v>113</v>
      </c>
      <c r="I110" t="s">
        <v>114</v>
      </c>
      <c r="J110">
        <f t="shared" si="10"/>
        <v>7</v>
      </c>
      <c r="K110" t="s">
        <v>113</v>
      </c>
      <c r="L110" s="9">
        <f t="shared" si="11"/>
        <v>4.4085316937344352</v>
      </c>
      <c r="M110" s="9">
        <f t="shared" si="11"/>
        <v>2.2042658468672176</v>
      </c>
      <c r="N110" s="9">
        <f t="shared" si="11"/>
        <v>1.1021329234336088</v>
      </c>
      <c r="O110" s="9">
        <f t="shared" si="11"/>
        <v>0.73475528228907261</v>
      </c>
      <c r="P110" s="9">
        <f t="shared" si="11"/>
        <v>0.5510664617168044</v>
      </c>
    </row>
    <row r="111" spans="1:16">
      <c r="A111" s="7"/>
      <c r="C111" s="134"/>
      <c r="G111">
        <f t="shared" si="9"/>
        <v>273</v>
      </c>
      <c r="H111" t="s">
        <v>113</v>
      </c>
      <c r="I111" t="s">
        <v>114</v>
      </c>
      <c r="J111">
        <f t="shared" si="10"/>
        <v>8</v>
      </c>
      <c r="K111" t="s">
        <v>113</v>
      </c>
      <c r="L111" s="9">
        <f t="shared" si="11"/>
        <v>2.8050166456598831</v>
      </c>
      <c r="M111" s="9">
        <f t="shared" si="11"/>
        <v>1.4025083228299415</v>
      </c>
      <c r="N111" s="9">
        <f t="shared" si="11"/>
        <v>0.70125416141497077</v>
      </c>
      <c r="O111" s="9">
        <f t="shared" si="11"/>
        <v>0.46750277427664721</v>
      </c>
      <c r="P111" s="9">
        <f t="shared" si="11"/>
        <v>0.35062708070748538</v>
      </c>
    </row>
    <row r="112" spans="1:16">
      <c r="A112" s="7"/>
      <c r="C112" s="134"/>
      <c r="G112">
        <f t="shared" si="9"/>
        <v>325</v>
      </c>
      <c r="H112" t="s">
        <v>113</v>
      </c>
      <c r="I112" t="s">
        <v>114</v>
      </c>
      <c r="J112">
        <f t="shared" si="10"/>
        <v>8</v>
      </c>
      <c r="K112" t="s">
        <v>113</v>
      </c>
      <c r="L112" s="9">
        <f t="shared" si="11"/>
        <v>1.9403708007791038</v>
      </c>
      <c r="M112" s="9">
        <f t="shared" si="11"/>
        <v>0.97018540038955192</v>
      </c>
      <c r="N112" s="9">
        <f t="shared" si="11"/>
        <v>0.48509270019477596</v>
      </c>
      <c r="O112" s="9">
        <f t="shared" si="11"/>
        <v>0.32339513346318399</v>
      </c>
      <c r="P112" s="9">
        <f t="shared" si="11"/>
        <v>0.24254635009738798</v>
      </c>
    </row>
    <row r="113" spans="1:16">
      <c r="A113" s="7"/>
      <c r="C113" s="134"/>
      <c r="G113">
        <f t="shared" si="9"/>
        <v>377</v>
      </c>
      <c r="H113" t="s">
        <v>113</v>
      </c>
      <c r="I113" t="s">
        <v>114</v>
      </c>
      <c r="J113">
        <f t="shared" si="10"/>
        <v>8</v>
      </c>
      <c r="K113" t="s">
        <v>113</v>
      </c>
      <c r="L113" s="9">
        <f t="shared" si="11"/>
        <v>1.4216323112099327</v>
      </c>
      <c r="M113" s="9">
        <f t="shared" si="11"/>
        <v>0.71081615560496636</v>
      </c>
      <c r="N113" s="9">
        <f t="shared" si="11"/>
        <v>0.35540807780248318</v>
      </c>
      <c r="O113" s="9">
        <f t="shared" si="11"/>
        <v>0.23693871853498874</v>
      </c>
      <c r="P113" s="9">
        <f t="shared" si="11"/>
        <v>0.17770403890124159</v>
      </c>
    </row>
    <row r="114" spans="1:16">
      <c r="A114" s="7"/>
      <c r="C114" s="134"/>
      <c r="G114">
        <f t="shared" si="9"/>
        <v>426</v>
      </c>
      <c r="H114" t="s">
        <v>113</v>
      </c>
      <c r="I114" t="s">
        <v>114</v>
      </c>
      <c r="J114">
        <f t="shared" si="10"/>
        <v>8</v>
      </c>
      <c r="K114" t="s">
        <v>113</v>
      </c>
      <c r="L114" s="9">
        <f t="shared" si="11"/>
        <v>1.1021329234336088</v>
      </c>
      <c r="M114" s="9">
        <f t="shared" si="11"/>
        <v>0.5510664617168044</v>
      </c>
      <c r="N114" s="9">
        <f t="shared" si="11"/>
        <v>0.2755332308584022</v>
      </c>
      <c r="O114" s="9">
        <f t="shared" si="11"/>
        <v>0.18368882057226815</v>
      </c>
      <c r="P114" s="9">
        <f t="shared" si="11"/>
        <v>0.1377666154292011</v>
      </c>
    </row>
    <row r="115" spans="1:16">
      <c r="A115" s="7"/>
      <c r="C115" s="134"/>
      <c r="L115" s="9"/>
      <c r="M115" s="9"/>
      <c r="N115" s="9"/>
      <c r="O115" s="9"/>
      <c r="P115" s="9"/>
    </row>
    <row r="116" spans="1:16">
      <c r="A116" s="7"/>
      <c r="C116" s="134"/>
      <c r="G116" s="242" t="s">
        <v>950</v>
      </c>
      <c r="H116" s="242"/>
      <c r="I116" s="242"/>
      <c r="J116" s="242"/>
      <c r="K116" s="242"/>
      <c r="L116" s="242"/>
      <c r="M116" s="242"/>
      <c r="N116" s="242"/>
      <c r="O116" s="242"/>
      <c r="P116" s="242"/>
    </row>
    <row r="117" spans="1:16">
      <c r="A117" s="7"/>
      <c r="C117" s="134"/>
      <c r="G117" s="242" t="s">
        <v>111</v>
      </c>
      <c r="H117" s="242"/>
      <c r="I117" s="242"/>
      <c r="J117" s="242"/>
      <c r="K117" s="242"/>
      <c r="L117" s="242" t="s">
        <v>112</v>
      </c>
      <c r="M117" s="242"/>
      <c r="N117" s="242"/>
      <c r="O117" s="242"/>
      <c r="P117" s="242"/>
    </row>
    <row r="118" spans="1:16">
      <c r="A118" s="7"/>
      <c r="C118" s="134"/>
      <c r="G118" s="242"/>
      <c r="H118" s="242"/>
      <c r="I118" s="242"/>
      <c r="J118" s="242"/>
      <c r="K118" s="242"/>
      <c r="L118" s="192">
        <v>1</v>
      </c>
      <c r="M118" s="192">
        <v>2</v>
      </c>
      <c r="N118" s="190">
        <v>4</v>
      </c>
      <c r="O118" s="190">
        <v>6</v>
      </c>
      <c r="P118" s="190">
        <v>8</v>
      </c>
    </row>
    <row r="119" spans="1:16">
      <c r="A119" s="7"/>
      <c r="C119" s="134"/>
      <c r="G119">
        <f>G6</f>
        <v>45</v>
      </c>
      <c r="H119" t="s">
        <v>113</v>
      </c>
      <c r="I119" t="s">
        <v>114</v>
      </c>
      <c r="J119">
        <f>J6</f>
        <v>5</v>
      </c>
      <c r="K119" t="s">
        <v>113</v>
      </c>
      <c r="L119" s="9">
        <f>L79+L99</f>
        <v>155.54003548221775</v>
      </c>
      <c r="M119" s="9">
        <f t="shared" ref="M119:P119" si="12">M79+M99</f>
        <v>77.770017741108873</v>
      </c>
      <c r="N119" s="9">
        <f t="shared" si="12"/>
        <v>38.885008870554437</v>
      </c>
      <c r="O119" s="9">
        <f t="shared" si="12"/>
        <v>25.923339247036292</v>
      </c>
      <c r="P119" s="9">
        <f t="shared" si="12"/>
        <v>19.442504435277218</v>
      </c>
    </row>
    <row r="120" spans="1:16">
      <c r="A120" s="7"/>
      <c r="C120" s="134"/>
      <c r="G120">
        <f t="shared" ref="G120:G134" si="13">G7</f>
        <v>57</v>
      </c>
      <c r="H120" t="s">
        <v>113</v>
      </c>
      <c r="I120" t="s">
        <v>114</v>
      </c>
      <c r="J120">
        <f t="shared" ref="J120:J134" si="14">J7</f>
        <v>5</v>
      </c>
      <c r="K120" t="s">
        <v>113</v>
      </c>
      <c r="L120" s="9">
        <f t="shared" ref="L120:P134" si="15">L80+L100</f>
        <v>86.254659785295047</v>
      </c>
      <c r="M120" s="9">
        <f t="shared" si="15"/>
        <v>43.127329892647523</v>
      </c>
      <c r="N120" s="9">
        <f t="shared" si="15"/>
        <v>21.563664946323762</v>
      </c>
      <c r="O120" s="9">
        <f t="shared" si="15"/>
        <v>14.375776630882509</v>
      </c>
      <c r="P120" s="9">
        <f t="shared" si="15"/>
        <v>10.781832473161881</v>
      </c>
    </row>
    <row r="121" spans="1:16">
      <c r="A121" s="7"/>
      <c r="C121" s="134"/>
      <c r="G121">
        <f t="shared" si="13"/>
        <v>76</v>
      </c>
      <c r="H121" t="s">
        <v>113</v>
      </c>
      <c r="I121" t="s">
        <v>114</v>
      </c>
      <c r="J121">
        <f t="shared" si="14"/>
        <v>5</v>
      </c>
      <c r="K121" t="s">
        <v>113</v>
      </c>
      <c r="L121" s="9">
        <f t="shared" si="15"/>
        <v>43.741171594517155</v>
      </c>
      <c r="M121" s="9">
        <f t="shared" si="15"/>
        <v>21.870585797258578</v>
      </c>
      <c r="N121" s="9">
        <f t="shared" si="15"/>
        <v>10.935292898629289</v>
      </c>
      <c r="O121" s="9">
        <f t="shared" si="15"/>
        <v>7.2901952657528604</v>
      </c>
      <c r="P121" s="9">
        <f t="shared" si="15"/>
        <v>5.4676464493146444</v>
      </c>
    </row>
    <row r="122" spans="1:16">
      <c r="A122" s="7"/>
      <c r="C122" s="134"/>
      <c r="G122">
        <f t="shared" si="13"/>
        <v>89</v>
      </c>
      <c r="H122" t="s">
        <v>113</v>
      </c>
      <c r="I122" t="s">
        <v>114</v>
      </c>
      <c r="J122">
        <f t="shared" si="14"/>
        <v>5</v>
      </c>
      <c r="K122" t="s">
        <v>113</v>
      </c>
      <c r="L122" s="9">
        <f t="shared" si="15"/>
        <v>30.529809880742953</v>
      </c>
      <c r="M122" s="9">
        <f t="shared" si="15"/>
        <v>15.264904940371476</v>
      </c>
      <c r="N122" s="9">
        <f t="shared" si="15"/>
        <v>7.6324524701857381</v>
      </c>
      <c r="O122" s="9">
        <f t="shared" si="15"/>
        <v>5.0883016467904927</v>
      </c>
      <c r="P122" s="9">
        <f t="shared" si="15"/>
        <v>3.8162262350928691</v>
      </c>
    </row>
    <row r="123" spans="1:16">
      <c r="A123" s="7"/>
      <c r="C123" s="134"/>
      <c r="G123">
        <f t="shared" si="13"/>
        <v>102</v>
      </c>
      <c r="H123" t="s">
        <v>113</v>
      </c>
      <c r="I123" t="s">
        <v>114</v>
      </c>
      <c r="J123">
        <f t="shared" si="14"/>
        <v>5</v>
      </c>
      <c r="K123" t="s">
        <v>113</v>
      </c>
      <c r="L123" s="9">
        <f t="shared" si="15"/>
        <v>22.511406364096974</v>
      </c>
      <c r="M123" s="9">
        <f t="shared" si="15"/>
        <v>11.255703182048487</v>
      </c>
      <c r="N123" s="9">
        <f t="shared" si="15"/>
        <v>5.6278515910242435</v>
      </c>
      <c r="O123" s="9">
        <f t="shared" si="15"/>
        <v>3.7519010606828287</v>
      </c>
      <c r="P123" s="9">
        <f t="shared" si="15"/>
        <v>2.8139257955121217</v>
      </c>
    </row>
    <row r="124" spans="1:16">
      <c r="A124" s="7"/>
      <c r="C124" s="134"/>
      <c r="G124">
        <f t="shared" si="13"/>
        <v>108</v>
      </c>
      <c r="H124" t="s">
        <v>113</v>
      </c>
      <c r="I124" t="s">
        <v>114</v>
      </c>
      <c r="J124">
        <f t="shared" si="14"/>
        <v>5</v>
      </c>
      <c r="K124" t="s">
        <v>113</v>
      </c>
      <c r="L124" s="9">
        <f t="shared" si="15"/>
        <v>19.839290240078792</v>
      </c>
      <c r="M124" s="9">
        <f t="shared" si="15"/>
        <v>9.9196451200393962</v>
      </c>
      <c r="N124" s="9">
        <f t="shared" si="15"/>
        <v>4.9598225600196981</v>
      </c>
      <c r="O124" s="9">
        <f t="shared" si="15"/>
        <v>3.3065483733464656</v>
      </c>
      <c r="P124" s="9">
        <f t="shared" si="15"/>
        <v>2.4799112800098491</v>
      </c>
    </row>
    <row r="125" spans="1:16">
      <c r="A125" s="7"/>
      <c r="C125" s="134"/>
      <c r="G125">
        <f t="shared" si="13"/>
        <v>114</v>
      </c>
      <c r="H125" t="s">
        <v>113</v>
      </c>
      <c r="I125" t="s">
        <v>114</v>
      </c>
      <c r="J125">
        <f t="shared" si="14"/>
        <v>6</v>
      </c>
      <c r="K125" t="s">
        <v>113</v>
      </c>
      <c r="L125" s="9">
        <f t="shared" si="15"/>
        <v>18.313777726424146</v>
      </c>
      <c r="M125" s="9">
        <f t="shared" si="15"/>
        <v>9.1568888632120728</v>
      </c>
      <c r="N125" s="9">
        <f t="shared" si="15"/>
        <v>4.5784444316060364</v>
      </c>
      <c r="O125" s="9">
        <f t="shared" si="15"/>
        <v>3.0522962877373576</v>
      </c>
      <c r="P125" s="9">
        <f t="shared" si="15"/>
        <v>2.2892222158030182</v>
      </c>
    </row>
    <row r="126" spans="1:16">
      <c r="A126" s="7"/>
      <c r="C126" s="134"/>
      <c r="G126">
        <f t="shared" si="13"/>
        <v>127</v>
      </c>
      <c r="H126" t="s">
        <v>113</v>
      </c>
      <c r="I126" t="s">
        <v>114</v>
      </c>
      <c r="J126">
        <f t="shared" si="14"/>
        <v>6</v>
      </c>
      <c r="K126" t="s">
        <v>113</v>
      </c>
      <c r="L126" s="9">
        <f t="shared" si="15"/>
        <v>14.407300073022059</v>
      </c>
      <c r="M126" s="9">
        <f t="shared" si="15"/>
        <v>7.2036500365110294</v>
      </c>
      <c r="N126" s="9">
        <f t="shared" si="15"/>
        <v>3.6018250182555147</v>
      </c>
      <c r="O126" s="9">
        <f t="shared" si="15"/>
        <v>2.40121667883701</v>
      </c>
      <c r="P126" s="9">
        <f t="shared" si="15"/>
        <v>1.8009125091277574</v>
      </c>
    </row>
    <row r="127" spans="1:16">
      <c r="A127" s="7"/>
      <c r="C127" s="134"/>
      <c r="G127">
        <f t="shared" si="13"/>
        <v>152</v>
      </c>
      <c r="H127" t="s">
        <v>113</v>
      </c>
      <c r="I127" t="s">
        <v>114</v>
      </c>
      <c r="J127">
        <f t="shared" si="14"/>
        <v>6</v>
      </c>
      <c r="K127" t="s">
        <v>113</v>
      </c>
      <c r="L127" s="9">
        <f t="shared" si="15"/>
        <v>9.7212522176386091</v>
      </c>
      <c r="M127" s="9">
        <f t="shared" si="15"/>
        <v>4.8606261088193046</v>
      </c>
      <c r="N127" s="9">
        <f t="shared" si="15"/>
        <v>2.4303130544096523</v>
      </c>
      <c r="O127" s="9">
        <f t="shared" si="15"/>
        <v>1.6202087029397683</v>
      </c>
      <c r="P127" s="9">
        <f t="shared" si="15"/>
        <v>1.2151565272048261</v>
      </c>
    </row>
    <row r="128" spans="1:16">
      <c r="A128" s="7"/>
      <c r="C128" s="134"/>
      <c r="G128">
        <f t="shared" si="13"/>
        <v>159</v>
      </c>
      <c r="H128" t="s">
        <v>113</v>
      </c>
      <c r="I128" t="s">
        <v>114</v>
      </c>
      <c r="J128">
        <f t="shared" si="14"/>
        <v>6</v>
      </c>
      <c r="K128" t="s">
        <v>113</v>
      </c>
      <c r="L128" s="9">
        <f t="shared" si="15"/>
        <v>8.8174623289239111</v>
      </c>
      <c r="M128" s="9">
        <f t="shared" si="15"/>
        <v>4.4087311644619556</v>
      </c>
      <c r="N128" s="9">
        <f t="shared" si="15"/>
        <v>2.2043655822309778</v>
      </c>
      <c r="O128" s="9">
        <f t="shared" si="15"/>
        <v>1.4695770548206517</v>
      </c>
      <c r="P128" s="9">
        <f t="shared" si="15"/>
        <v>1.1021827911154889</v>
      </c>
    </row>
    <row r="129" spans="1:16">
      <c r="A129" s="7"/>
      <c r="C129" s="134"/>
      <c r="G129">
        <f t="shared" si="13"/>
        <v>168</v>
      </c>
      <c r="H129" t="s">
        <v>113</v>
      </c>
      <c r="I129" t="s">
        <v>114</v>
      </c>
      <c r="J129">
        <f t="shared" si="14"/>
        <v>6</v>
      </c>
      <c r="K129" t="s">
        <v>113</v>
      </c>
      <c r="L129" s="9">
        <f t="shared" si="15"/>
        <v>7.8294108919180125</v>
      </c>
      <c r="M129" s="9">
        <f t="shared" si="15"/>
        <v>3.9147054459590063</v>
      </c>
      <c r="N129" s="9">
        <f t="shared" si="15"/>
        <v>1.9573527229795031</v>
      </c>
      <c r="O129" s="9">
        <f t="shared" si="15"/>
        <v>1.3049018153196688</v>
      </c>
      <c r="P129" s="9">
        <f t="shared" si="15"/>
        <v>0.97867636148975157</v>
      </c>
    </row>
    <row r="130" spans="1:16">
      <c r="A130" s="7"/>
      <c r="C130" s="134"/>
      <c r="G130">
        <f t="shared" si="13"/>
        <v>219</v>
      </c>
      <c r="H130" t="s">
        <v>113</v>
      </c>
      <c r="I130" t="s">
        <v>114</v>
      </c>
      <c r="J130">
        <f t="shared" si="14"/>
        <v>7</v>
      </c>
      <c r="K130" t="s">
        <v>113</v>
      </c>
      <c r="L130" s="9">
        <f t="shared" si="15"/>
        <v>4.5338856267868364</v>
      </c>
      <c r="M130" s="9">
        <f t="shared" si="15"/>
        <v>2.2669428133934182</v>
      </c>
      <c r="N130" s="9">
        <f t="shared" si="15"/>
        <v>1.1334714066967091</v>
      </c>
      <c r="O130" s="9">
        <f t="shared" si="15"/>
        <v>0.75564760446447277</v>
      </c>
      <c r="P130" s="9">
        <f t="shared" si="15"/>
        <v>0.56673570334835455</v>
      </c>
    </row>
    <row r="131" spans="1:16">
      <c r="A131" s="7"/>
      <c r="C131" s="134"/>
      <c r="G131">
        <f t="shared" si="13"/>
        <v>273</v>
      </c>
      <c r="H131" t="s">
        <v>113</v>
      </c>
      <c r="I131" t="s">
        <v>114</v>
      </c>
      <c r="J131">
        <f t="shared" si="14"/>
        <v>8</v>
      </c>
      <c r="K131" t="s">
        <v>113</v>
      </c>
      <c r="L131" s="9">
        <f t="shared" si="15"/>
        <v>2.8847755979002976</v>
      </c>
      <c r="M131" s="9">
        <f t="shared" si="15"/>
        <v>1.4423877989501488</v>
      </c>
      <c r="N131" s="9">
        <f t="shared" si="15"/>
        <v>0.7211938994750744</v>
      </c>
      <c r="O131" s="9">
        <f t="shared" si="15"/>
        <v>0.48079593298338297</v>
      </c>
      <c r="P131" s="9">
        <f t="shared" si="15"/>
        <v>0.3605969497375372</v>
      </c>
    </row>
    <row r="132" spans="1:16">
      <c r="A132" s="7"/>
      <c r="C132" s="134"/>
      <c r="G132">
        <f t="shared" si="13"/>
        <v>325</v>
      </c>
      <c r="H132" t="s">
        <v>113</v>
      </c>
      <c r="I132" t="s">
        <v>114</v>
      </c>
      <c r="J132">
        <f t="shared" si="14"/>
        <v>8</v>
      </c>
      <c r="K132" t="s">
        <v>113</v>
      </c>
      <c r="L132" s="9">
        <f t="shared" si="15"/>
        <v>1.9955440712363377</v>
      </c>
      <c r="M132" s="9">
        <f t="shared" si="15"/>
        <v>0.99777203561816885</v>
      </c>
      <c r="N132" s="9">
        <f t="shared" si="15"/>
        <v>0.49888601780908443</v>
      </c>
      <c r="O132" s="9">
        <f t="shared" si="15"/>
        <v>0.33259067853938962</v>
      </c>
      <c r="P132" s="9">
        <f t="shared" si="15"/>
        <v>0.24944300890454221</v>
      </c>
    </row>
    <row r="133" spans="1:16">
      <c r="A133" s="7"/>
      <c r="C133" s="134"/>
      <c r="G133">
        <f t="shared" si="13"/>
        <v>377</v>
      </c>
      <c r="H133" t="s">
        <v>113</v>
      </c>
      <c r="I133" t="s">
        <v>114</v>
      </c>
      <c r="J133">
        <f t="shared" si="14"/>
        <v>8</v>
      </c>
      <c r="K133" t="s">
        <v>113</v>
      </c>
      <c r="L133" s="9">
        <f t="shared" si="15"/>
        <v>1.4620555663762309</v>
      </c>
      <c r="M133" s="9">
        <f t="shared" si="15"/>
        <v>0.73102778318811545</v>
      </c>
      <c r="N133" s="9">
        <f t="shared" si="15"/>
        <v>0.36551389159405773</v>
      </c>
      <c r="O133" s="9">
        <f t="shared" si="15"/>
        <v>0.24367592772937177</v>
      </c>
      <c r="P133" s="9">
        <f t="shared" si="15"/>
        <v>0.18275694579702886</v>
      </c>
    </row>
    <row r="134" spans="1:16">
      <c r="A134" s="7"/>
      <c r="C134" s="134"/>
      <c r="G134">
        <f t="shared" si="13"/>
        <v>426</v>
      </c>
      <c r="H134" t="s">
        <v>113</v>
      </c>
      <c r="I134" t="s">
        <v>114</v>
      </c>
      <c r="J134">
        <f t="shared" si="14"/>
        <v>8</v>
      </c>
      <c r="K134" t="s">
        <v>113</v>
      </c>
      <c r="L134" s="9">
        <f t="shared" si="15"/>
        <v>1.1334714066967091</v>
      </c>
      <c r="M134" s="9">
        <f t="shared" si="15"/>
        <v>0.56673570334835455</v>
      </c>
      <c r="N134" s="9">
        <f t="shared" si="15"/>
        <v>0.28336785167417727</v>
      </c>
      <c r="O134" s="9">
        <f t="shared" si="15"/>
        <v>0.18891190111611819</v>
      </c>
      <c r="P134" s="9">
        <f t="shared" si="15"/>
        <v>0.14168392583708864</v>
      </c>
    </row>
    <row r="135" spans="1:16">
      <c r="A135" s="7"/>
      <c r="C135" s="134"/>
      <c r="L135" s="9"/>
      <c r="M135" s="9"/>
      <c r="N135" s="9"/>
      <c r="O135" s="9"/>
      <c r="P135" s="9"/>
    </row>
    <row r="136" spans="1:16">
      <c r="A136" s="7"/>
      <c r="C136" s="134"/>
      <c r="L136" s="9"/>
      <c r="M136" s="9"/>
      <c r="N136" s="9"/>
      <c r="O136" s="9"/>
      <c r="P136" s="9"/>
    </row>
    <row r="137" spans="1:16">
      <c r="A137" s="7"/>
      <c r="C137" s="134"/>
      <c r="G137" s="6" t="s">
        <v>952</v>
      </c>
    </row>
    <row r="138" spans="1:16">
      <c r="A138" s="7"/>
      <c r="C138" s="134"/>
      <c r="G138" s="242" t="s">
        <v>948</v>
      </c>
      <c r="H138" s="242"/>
      <c r="I138" s="242"/>
      <c r="J138" s="242"/>
      <c r="K138" s="242"/>
      <c r="L138" s="242"/>
      <c r="M138" s="242"/>
      <c r="N138" s="242"/>
      <c r="O138" s="242"/>
      <c r="P138" s="242"/>
    </row>
    <row r="139" spans="1:16">
      <c r="A139" s="7"/>
      <c r="C139" s="134"/>
      <c r="G139" s="242" t="s">
        <v>111</v>
      </c>
      <c r="H139" s="242"/>
      <c r="I139" s="242"/>
      <c r="J139" s="242"/>
      <c r="K139" s="242"/>
      <c r="L139" s="242" t="s">
        <v>112</v>
      </c>
      <c r="M139" s="242"/>
      <c r="N139" s="242"/>
      <c r="O139" s="242"/>
      <c r="P139" s="242"/>
    </row>
    <row r="140" spans="1:16">
      <c r="A140" s="7"/>
      <c r="C140" s="134"/>
      <c r="G140" s="242"/>
      <c r="H140" s="242"/>
      <c r="I140" s="242"/>
      <c r="J140" s="242"/>
      <c r="K140" s="242"/>
      <c r="L140" s="190">
        <v>1</v>
      </c>
      <c r="M140" s="190">
        <v>2</v>
      </c>
      <c r="N140" s="190">
        <v>4</v>
      </c>
      <c r="O140" s="190">
        <v>6</v>
      </c>
      <c r="P140" s="190">
        <v>8</v>
      </c>
    </row>
    <row r="141" spans="1:16">
      <c r="A141" s="7"/>
      <c r="C141" s="134"/>
      <c r="G141">
        <f>G6</f>
        <v>45</v>
      </c>
      <c r="H141" t="s">
        <v>113</v>
      </c>
      <c r="I141" t="s">
        <v>114</v>
      </c>
      <c r="J141">
        <f>J6</f>
        <v>5</v>
      </c>
      <c r="K141" t="s">
        <v>113</v>
      </c>
      <c r="L141" s="9">
        <f t="shared" ref="L141:P150" si="16">KPZ_Gm/KPZ_ro1_rz/L6</f>
        <v>4.3606486717099884</v>
      </c>
      <c r="M141" s="9">
        <f t="shared" si="16"/>
        <v>2.1803243358549942</v>
      </c>
      <c r="N141" s="9">
        <f t="shared" si="16"/>
        <v>1.0901621679274971</v>
      </c>
      <c r="O141" s="9">
        <f t="shared" si="16"/>
        <v>0.7267747786183314</v>
      </c>
      <c r="P141" s="9">
        <f t="shared" si="16"/>
        <v>0.54508108396374855</v>
      </c>
    </row>
    <row r="142" spans="1:16">
      <c r="A142" s="7"/>
      <c r="C142" s="134"/>
      <c r="G142">
        <f t="shared" ref="G142:G156" si="17">G7</f>
        <v>57</v>
      </c>
      <c r="H142" t="s">
        <v>113</v>
      </c>
      <c r="I142" t="s">
        <v>114</v>
      </c>
      <c r="J142">
        <f t="shared" ref="J142:J156" si="18">J7</f>
        <v>5</v>
      </c>
      <c r="K142" t="s">
        <v>113</v>
      </c>
      <c r="L142" s="9">
        <f t="shared" si="16"/>
        <v>2.4181958455612205</v>
      </c>
      <c r="M142" s="9">
        <f t="shared" si="16"/>
        <v>1.2090979227806102</v>
      </c>
      <c r="N142" s="9">
        <f t="shared" si="16"/>
        <v>0.60454896139030512</v>
      </c>
      <c r="O142" s="9">
        <f t="shared" si="16"/>
        <v>0.40303264092687013</v>
      </c>
      <c r="P142" s="9">
        <f t="shared" si="16"/>
        <v>0.30227448069515256</v>
      </c>
    </row>
    <row r="143" spans="1:16">
      <c r="A143" s="7"/>
      <c r="C143" s="134"/>
      <c r="G143">
        <f t="shared" si="17"/>
        <v>76</v>
      </c>
      <c r="H143" t="s">
        <v>113</v>
      </c>
      <c r="I143" t="s">
        <v>114</v>
      </c>
      <c r="J143">
        <f t="shared" si="18"/>
        <v>5</v>
      </c>
      <c r="K143" t="s">
        <v>113</v>
      </c>
      <c r="L143" s="9">
        <f t="shared" si="16"/>
        <v>1.2263073055199118</v>
      </c>
      <c r="M143" s="9">
        <f t="shared" si="16"/>
        <v>0.61315365275995592</v>
      </c>
      <c r="N143" s="9">
        <f t="shared" si="16"/>
        <v>0.30657682637997796</v>
      </c>
      <c r="O143" s="9">
        <f t="shared" si="16"/>
        <v>0.20438455091998534</v>
      </c>
      <c r="P143" s="9">
        <f t="shared" si="16"/>
        <v>0.15328841318998898</v>
      </c>
    </row>
    <row r="144" spans="1:16">
      <c r="A144" s="7"/>
      <c r="C144" s="134"/>
      <c r="G144">
        <f t="shared" si="17"/>
        <v>89</v>
      </c>
      <c r="H144" t="s">
        <v>113</v>
      </c>
      <c r="I144" t="s">
        <v>114</v>
      </c>
      <c r="J144">
        <f t="shared" si="18"/>
        <v>5</v>
      </c>
      <c r="K144" t="s">
        <v>113</v>
      </c>
      <c r="L144" s="9">
        <f t="shared" si="16"/>
        <v>0.8559196639712765</v>
      </c>
      <c r="M144" s="9">
        <f t="shared" si="16"/>
        <v>0.42795983198563825</v>
      </c>
      <c r="N144" s="9">
        <f t="shared" si="16"/>
        <v>0.21397991599281913</v>
      </c>
      <c r="O144" s="9">
        <f t="shared" si="16"/>
        <v>0.1426532773285461</v>
      </c>
      <c r="P144" s="9">
        <f t="shared" si="16"/>
        <v>0.10698995799640956</v>
      </c>
    </row>
    <row r="145" spans="1:16">
      <c r="A145" s="7"/>
      <c r="C145" s="134"/>
      <c r="G145">
        <f t="shared" si="17"/>
        <v>102</v>
      </c>
      <c r="H145" t="s">
        <v>113</v>
      </c>
      <c r="I145" t="s">
        <v>114</v>
      </c>
      <c r="J145">
        <f t="shared" si="18"/>
        <v>5</v>
      </c>
      <c r="K145" t="s">
        <v>113</v>
      </c>
      <c r="L145" s="9">
        <f t="shared" si="16"/>
        <v>0.63111940251001142</v>
      </c>
      <c r="M145" s="9">
        <f t="shared" si="16"/>
        <v>0.31555970125500571</v>
      </c>
      <c r="N145" s="9">
        <f t="shared" si="16"/>
        <v>0.15777985062750285</v>
      </c>
      <c r="O145" s="9">
        <f t="shared" si="16"/>
        <v>0.10518656708500192</v>
      </c>
      <c r="P145" s="9">
        <f t="shared" si="16"/>
        <v>7.8889925313751427E-2</v>
      </c>
    </row>
    <row r="146" spans="1:16">
      <c r="A146" s="7"/>
      <c r="C146" s="134"/>
      <c r="G146">
        <f t="shared" si="17"/>
        <v>108</v>
      </c>
      <c r="H146" t="s">
        <v>113</v>
      </c>
      <c r="I146" t="s">
        <v>114</v>
      </c>
      <c r="J146">
        <f t="shared" si="18"/>
        <v>5</v>
      </c>
      <c r="K146" t="s">
        <v>113</v>
      </c>
      <c r="L146" s="9">
        <f t="shared" si="16"/>
        <v>0.55620518771811078</v>
      </c>
      <c r="M146" s="9">
        <f t="shared" si="16"/>
        <v>0.27810259385905539</v>
      </c>
      <c r="N146" s="9">
        <f t="shared" si="16"/>
        <v>0.1390512969295277</v>
      </c>
      <c r="O146" s="9">
        <f t="shared" si="16"/>
        <v>9.270086461968513E-2</v>
      </c>
      <c r="P146" s="9">
        <f t="shared" si="16"/>
        <v>6.9525648464763848E-2</v>
      </c>
    </row>
    <row r="147" spans="1:16">
      <c r="A147" s="7"/>
      <c r="C147" s="134"/>
      <c r="G147">
        <f t="shared" si="17"/>
        <v>114</v>
      </c>
      <c r="H147" t="s">
        <v>113</v>
      </c>
      <c r="I147" t="s">
        <v>114</v>
      </c>
      <c r="J147">
        <f t="shared" si="18"/>
        <v>6</v>
      </c>
      <c r="K147" t="s">
        <v>113</v>
      </c>
      <c r="L147" s="9">
        <f t="shared" si="16"/>
        <v>0.51343662272633006</v>
      </c>
      <c r="M147" s="9">
        <f t="shared" si="16"/>
        <v>0.25671831136316503</v>
      </c>
      <c r="N147" s="9">
        <f t="shared" si="16"/>
        <v>0.12835915568158252</v>
      </c>
      <c r="O147" s="9">
        <f t="shared" si="16"/>
        <v>8.5572770454388339E-2</v>
      </c>
      <c r="P147" s="9">
        <f t="shared" si="16"/>
        <v>6.4179577840791258E-2</v>
      </c>
    </row>
    <row r="148" spans="1:16">
      <c r="A148" s="7"/>
      <c r="C148" s="134"/>
      <c r="G148">
        <f t="shared" si="17"/>
        <v>127</v>
      </c>
      <c r="H148" t="s">
        <v>113</v>
      </c>
      <c r="I148" t="s">
        <v>114</v>
      </c>
      <c r="J148">
        <f t="shared" si="18"/>
        <v>6</v>
      </c>
      <c r="K148" t="s">
        <v>113</v>
      </c>
      <c r="L148" s="9">
        <f t="shared" si="16"/>
        <v>0.40391641760640729</v>
      </c>
      <c r="M148" s="9">
        <f t="shared" si="16"/>
        <v>0.20195820880320364</v>
      </c>
      <c r="N148" s="9">
        <f t="shared" si="16"/>
        <v>0.10097910440160182</v>
      </c>
      <c r="O148" s="9">
        <f t="shared" si="16"/>
        <v>6.731940293440121E-2</v>
      </c>
      <c r="P148" s="9">
        <f t="shared" si="16"/>
        <v>5.0489552200800911E-2</v>
      </c>
    </row>
    <row r="149" spans="1:16">
      <c r="A149" s="7"/>
      <c r="C149" s="134"/>
      <c r="G149">
        <f t="shared" si="17"/>
        <v>152</v>
      </c>
      <c r="H149" t="s">
        <v>113</v>
      </c>
      <c r="I149" t="s">
        <v>114</v>
      </c>
      <c r="J149">
        <f t="shared" si="18"/>
        <v>6</v>
      </c>
      <c r="K149" t="s">
        <v>113</v>
      </c>
      <c r="L149" s="9">
        <f t="shared" si="16"/>
        <v>0.27254054198187427</v>
      </c>
      <c r="M149" s="9">
        <f t="shared" si="16"/>
        <v>0.13627027099093714</v>
      </c>
      <c r="N149" s="9">
        <f t="shared" si="16"/>
        <v>6.8135135495468568E-2</v>
      </c>
      <c r="O149" s="9">
        <f t="shared" si="16"/>
        <v>4.5423423663645712E-2</v>
      </c>
      <c r="P149" s="9">
        <f t="shared" si="16"/>
        <v>3.4067567747734284E-2</v>
      </c>
    </row>
    <row r="150" spans="1:16">
      <c r="A150" s="7"/>
      <c r="C150" s="134"/>
      <c r="G150">
        <f t="shared" si="17"/>
        <v>159</v>
      </c>
      <c r="H150" t="s">
        <v>113</v>
      </c>
      <c r="I150" t="s">
        <v>114</v>
      </c>
      <c r="J150">
        <f t="shared" si="18"/>
        <v>6</v>
      </c>
      <c r="K150" t="s">
        <v>113</v>
      </c>
      <c r="L150" s="9">
        <f t="shared" si="16"/>
        <v>0.24720230565249376</v>
      </c>
      <c r="M150" s="9">
        <f t="shared" si="16"/>
        <v>0.12360115282624688</v>
      </c>
      <c r="N150" s="9">
        <f t="shared" si="16"/>
        <v>6.1800576413123441E-2</v>
      </c>
      <c r="O150" s="9">
        <f t="shared" si="16"/>
        <v>4.120038427541562E-2</v>
      </c>
      <c r="P150" s="9">
        <f t="shared" si="16"/>
        <v>3.0900288206561721E-2</v>
      </c>
    </row>
    <row r="151" spans="1:16">
      <c r="A151" s="7"/>
      <c r="C151" s="134"/>
      <c r="G151">
        <f t="shared" si="17"/>
        <v>168</v>
      </c>
      <c r="H151" t="s">
        <v>113</v>
      </c>
      <c r="I151" t="s">
        <v>114</v>
      </c>
      <c r="J151">
        <f t="shared" si="18"/>
        <v>6</v>
      </c>
      <c r="K151" t="s">
        <v>113</v>
      </c>
      <c r="L151" s="9">
        <f t="shared" ref="L151:P156" si="19">KPZ_Gm/KPZ_ro1_rz/L16</f>
        <v>0.21950175143181855</v>
      </c>
      <c r="M151" s="9">
        <f t="shared" si="19"/>
        <v>0.10975087571590927</v>
      </c>
      <c r="N151" s="9">
        <f t="shared" si="19"/>
        <v>5.4875437857954637E-2</v>
      </c>
      <c r="O151" s="9">
        <f t="shared" si="19"/>
        <v>3.6583625238636425E-2</v>
      </c>
      <c r="P151" s="9">
        <f t="shared" si="19"/>
        <v>2.7437718928977319E-2</v>
      </c>
    </row>
    <row r="152" spans="1:16">
      <c r="A152" s="7"/>
      <c r="C152" s="134"/>
      <c r="G152">
        <f t="shared" si="17"/>
        <v>219</v>
      </c>
      <c r="H152" t="s">
        <v>113</v>
      </c>
      <c r="I152" t="s">
        <v>114</v>
      </c>
      <c r="J152">
        <f t="shared" si="18"/>
        <v>7</v>
      </c>
      <c r="K152" t="s">
        <v>113</v>
      </c>
      <c r="L152" s="9">
        <f t="shared" si="19"/>
        <v>0.12710992558821504</v>
      </c>
      <c r="M152" s="9">
        <f t="shared" si="19"/>
        <v>6.3554962794107522E-2</v>
      </c>
      <c r="N152" s="9">
        <f t="shared" si="19"/>
        <v>3.1777481397053761E-2</v>
      </c>
      <c r="O152" s="9">
        <f t="shared" si="19"/>
        <v>2.1184987598035842E-2</v>
      </c>
      <c r="P152" s="9">
        <f t="shared" si="19"/>
        <v>1.5888740698526881E-2</v>
      </c>
    </row>
    <row r="153" spans="1:16">
      <c r="A153" s="7"/>
      <c r="C153" s="134"/>
      <c r="G153">
        <f t="shared" si="17"/>
        <v>273</v>
      </c>
      <c r="H153" t="s">
        <v>113</v>
      </c>
      <c r="I153" t="s">
        <v>114</v>
      </c>
      <c r="J153">
        <f t="shared" si="18"/>
        <v>8</v>
      </c>
      <c r="K153" t="s">
        <v>113</v>
      </c>
      <c r="L153" s="9">
        <f t="shared" si="19"/>
        <v>8.0876237684820912E-2</v>
      </c>
      <c r="M153" s="9">
        <f t="shared" si="19"/>
        <v>4.0438118842410456E-2</v>
      </c>
      <c r="N153" s="9">
        <f t="shared" si="19"/>
        <v>2.0219059421205228E-2</v>
      </c>
      <c r="O153" s="9">
        <f t="shared" si="19"/>
        <v>1.3479372947470153E-2</v>
      </c>
      <c r="P153" s="9">
        <f t="shared" si="19"/>
        <v>1.0109529710602614E-2</v>
      </c>
    </row>
    <row r="154" spans="1:16">
      <c r="A154" s="7"/>
      <c r="C154" s="134"/>
      <c r="G154">
        <f t="shared" si="17"/>
        <v>325</v>
      </c>
      <c r="H154" t="s">
        <v>113</v>
      </c>
      <c r="I154" t="s">
        <v>114</v>
      </c>
      <c r="J154">
        <f t="shared" si="18"/>
        <v>8</v>
      </c>
      <c r="K154" t="s">
        <v>113</v>
      </c>
      <c r="L154" s="9">
        <f t="shared" si="19"/>
        <v>5.5946152876957055E-2</v>
      </c>
      <c r="M154" s="9">
        <f t="shared" si="19"/>
        <v>2.7973076438478527E-2</v>
      </c>
      <c r="N154" s="9">
        <f t="shared" si="19"/>
        <v>1.3986538219239264E-2</v>
      </c>
      <c r="O154" s="9">
        <f t="shared" si="19"/>
        <v>9.3243588128261758E-3</v>
      </c>
      <c r="P154" s="9">
        <f t="shared" si="19"/>
        <v>6.9932691096196318E-3</v>
      </c>
    </row>
    <row r="155" spans="1:16">
      <c r="A155" s="7"/>
      <c r="C155" s="134"/>
      <c r="G155">
        <f t="shared" si="17"/>
        <v>377</v>
      </c>
      <c r="H155" t="s">
        <v>113</v>
      </c>
      <c r="I155" t="s">
        <v>114</v>
      </c>
      <c r="J155">
        <f t="shared" si="18"/>
        <v>8</v>
      </c>
      <c r="K155" t="s">
        <v>113</v>
      </c>
      <c r="L155" s="9">
        <f t="shared" si="19"/>
        <v>4.0989515295652555E-2</v>
      </c>
      <c r="M155" s="9">
        <f t="shared" si="19"/>
        <v>2.0494757647826278E-2</v>
      </c>
      <c r="N155" s="9">
        <f t="shared" si="19"/>
        <v>1.0247378823913139E-2</v>
      </c>
      <c r="O155" s="9">
        <f t="shared" si="19"/>
        <v>6.8315858826087589E-3</v>
      </c>
      <c r="P155" s="9">
        <f t="shared" si="19"/>
        <v>5.1236894119565694E-3</v>
      </c>
    </row>
    <row r="156" spans="1:16">
      <c r="A156" s="7"/>
      <c r="C156" s="134"/>
      <c r="G156">
        <f t="shared" si="17"/>
        <v>426</v>
      </c>
      <c r="H156" t="s">
        <v>113</v>
      </c>
      <c r="I156" t="s">
        <v>114</v>
      </c>
      <c r="J156">
        <f t="shared" si="18"/>
        <v>8</v>
      </c>
      <c r="K156" t="s">
        <v>113</v>
      </c>
      <c r="L156" s="9">
        <f t="shared" si="19"/>
        <v>3.1777481397053761E-2</v>
      </c>
      <c r="M156" s="9">
        <f t="shared" si="19"/>
        <v>1.5888740698526881E-2</v>
      </c>
      <c r="N156" s="9">
        <f t="shared" si="19"/>
        <v>7.9443703492634403E-3</v>
      </c>
      <c r="O156" s="9">
        <f t="shared" si="19"/>
        <v>5.2962468995089605E-3</v>
      </c>
      <c r="P156" s="9">
        <f t="shared" si="19"/>
        <v>3.9721851746317201E-3</v>
      </c>
    </row>
    <row r="157" spans="1:16">
      <c r="A157" s="7"/>
      <c r="C157" s="134"/>
    </row>
    <row r="158" spans="1:16">
      <c r="A158" s="7"/>
      <c r="C158" s="134"/>
      <c r="G158" s="242" t="s">
        <v>949</v>
      </c>
      <c r="H158" s="242"/>
      <c r="I158" s="242"/>
      <c r="J158" s="242"/>
      <c r="K158" s="242"/>
      <c r="L158" s="242"/>
      <c r="M158" s="242"/>
      <c r="N158" s="242"/>
      <c r="O158" s="242"/>
      <c r="P158" s="242"/>
    </row>
    <row r="159" spans="1:16">
      <c r="A159" s="7"/>
      <c r="C159" s="134"/>
      <c r="G159" s="242" t="s">
        <v>111</v>
      </c>
      <c r="H159" s="242"/>
      <c r="I159" s="242"/>
      <c r="J159" s="242"/>
      <c r="K159" s="242"/>
      <c r="L159" s="242" t="s">
        <v>112</v>
      </c>
      <c r="M159" s="242"/>
      <c r="N159" s="242"/>
      <c r="O159" s="242"/>
      <c r="P159" s="242"/>
    </row>
    <row r="160" spans="1:16">
      <c r="A160" s="7"/>
      <c r="C160" s="134"/>
      <c r="G160" s="242"/>
      <c r="H160" s="242"/>
      <c r="I160" s="242"/>
      <c r="J160" s="242"/>
      <c r="K160" s="242"/>
      <c r="L160" s="190">
        <v>1</v>
      </c>
      <c r="M160" s="190">
        <v>2</v>
      </c>
      <c r="N160" s="190">
        <v>4</v>
      </c>
      <c r="O160" s="190">
        <v>6</v>
      </c>
      <c r="P160" s="190">
        <v>8</v>
      </c>
    </row>
    <row r="161" spans="1:16">
      <c r="A161" s="7"/>
      <c r="C161" s="134"/>
      <c r="G161">
        <f>G141</f>
        <v>45</v>
      </c>
      <c r="H161" t="s">
        <v>113</v>
      </c>
      <c r="I161" t="s">
        <v>114</v>
      </c>
      <c r="J161">
        <f>J141</f>
        <v>5</v>
      </c>
      <c r="K161" t="s">
        <v>113</v>
      </c>
      <c r="L161" s="9">
        <f t="shared" ref="L161:P170" si="20">KPZ_Gm/KPZ_ro2_rz/L6</f>
        <v>161.4535466054266</v>
      </c>
      <c r="M161" s="9">
        <f t="shared" si="20"/>
        <v>80.726773302713298</v>
      </c>
      <c r="N161" s="9">
        <f t="shared" si="20"/>
        <v>40.363386651356649</v>
      </c>
      <c r="O161" s="9">
        <f t="shared" si="20"/>
        <v>26.908924434237765</v>
      </c>
      <c r="P161" s="9">
        <f t="shared" si="20"/>
        <v>20.181693325678324</v>
      </c>
    </row>
    <row r="162" spans="1:16">
      <c r="A162" s="7"/>
      <c r="C162" s="134"/>
      <c r="G162">
        <f t="shared" ref="G162:G176" si="21">G142</f>
        <v>57</v>
      </c>
      <c r="H162" t="s">
        <v>113</v>
      </c>
      <c r="I162" t="s">
        <v>114</v>
      </c>
      <c r="J162">
        <f t="shared" ref="J162:J176" si="22">J142</f>
        <v>5</v>
      </c>
      <c r="K162" t="s">
        <v>113</v>
      </c>
      <c r="L162" s="9">
        <f t="shared" si="20"/>
        <v>89.533994835512715</v>
      </c>
      <c r="M162" s="9">
        <f t="shared" si="20"/>
        <v>44.766997417756357</v>
      </c>
      <c r="N162" s="9">
        <f t="shared" si="20"/>
        <v>22.383498708878179</v>
      </c>
      <c r="O162" s="9">
        <f t="shared" si="20"/>
        <v>14.922332472585452</v>
      </c>
      <c r="P162" s="9">
        <f t="shared" si="20"/>
        <v>11.191749354439089</v>
      </c>
    </row>
    <row r="163" spans="1:16">
      <c r="A163" s="7"/>
      <c r="C163" s="134"/>
      <c r="G163">
        <f t="shared" si="21"/>
        <v>76</v>
      </c>
      <c r="H163" t="s">
        <v>113</v>
      </c>
      <c r="I163" t="s">
        <v>114</v>
      </c>
      <c r="J163">
        <f t="shared" si="22"/>
        <v>5</v>
      </c>
      <c r="K163" t="s">
        <v>113</v>
      </c>
      <c r="L163" s="9">
        <f t="shared" si="20"/>
        <v>45.404176903500364</v>
      </c>
      <c r="M163" s="9">
        <f t="shared" si="20"/>
        <v>22.702088451750182</v>
      </c>
      <c r="N163" s="9">
        <f t="shared" si="20"/>
        <v>11.351044225875091</v>
      </c>
      <c r="O163" s="9">
        <f t="shared" si="20"/>
        <v>7.5673628172500607</v>
      </c>
      <c r="P163" s="9">
        <f t="shared" si="20"/>
        <v>5.6755221129375455</v>
      </c>
    </row>
    <row r="164" spans="1:16">
      <c r="A164" s="7"/>
      <c r="C164" s="134"/>
      <c r="G164">
        <f t="shared" si="21"/>
        <v>89</v>
      </c>
      <c r="H164" t="s">
        <v>113</v>
      </c>
      <c r="I164" t="s">
        <v>114</v>
      </c>
      <c r="J164">
        <f t="shared" si="22"/>
        <v>5</v>
      </c>
      <c r="K164" t="s">
        <v>113</v>
      </c>
      <c r="L164" s="9">
        <f t="shared" si="20"/>
        <v>31.690529497139497</v>
      </c>
      <c r="M164" s="9">
        <f t="shared" si="20"/>
        <v>15.845264748569749</v>
      </c>
      <c r="N164" s="9">
        <f t="shared" si="20"/>
        <v>7.9226323742848743</v>
      </c>
      <c r="O164" s="9">
        <f t="shared" si="20"/>
        <v>5.2817549161899162</v>
      </c>
      <c r="P164" s="9">
        <f t="shared" si="20"/>
        <v>3.9613161871424372</v>
      </c>
    </row>
    <row r="165" spans="1:16">
      <c r="A165" s="7"/>
      <c r="C165" s="134"/>
      <c r="G165">
        <f t="shared" si="21"/>
        <v>102</v>
      </c>
      <c r="H165" t="s">
        <v>113</v>
      </c>
      <c r="I165" t="s">
        <v>114</v>
      </c>
      <c r="J165">
        <f t="shared" si="22"/>
        <v>5</v>
      </c>
      <c r="K165" t="s">
        <v>113</v>
      </c>
      <c r="L165" s="9">
        <f t="shared" si="20"/>
        <v>23.367272517916778</v>
      </c>
      <c r="M165" s="9">
        <f t="shared" si="20"/>
        <v>11.683636258958389</v>
      </c>
      <c r="N165" s="9">
        <f t="shared" si="20"/>
        <v>5.8418181294791944</v>
      </c>
      <c r="O165" s="9">
        <f t="shared" si="20"/>
        <v>3.8945454196527964</v>
      </c>
      <c r="P165" s="9">
        <f t="shared" si="20"/>
        <v>2.9209090647395972</v>
      </c>
    </row>
    <row r="166" spans="1:16">
      <c r="A166" s="7"/>
      <c r="C166" s="134"/>
      <c r="G166">
        <f t="shared" si="21"/>
        <v>108</v>
      </c>
      <c r="H166" t="s">
        <v>113</v>
      </c>
      <c r="I166" t="s">
        <v>114</v>
      </c>
      <c r="J166">
        <f t="shared" si="22"/>
        <v>5</v>
      </c>
      <c r="K166" t="s">
        <v>113</v>
      </c>
      <c r="L166" s="9">
        <f t="shared" si="20"/>
        <v>20.593564618039103</v>
      </c>
      <c r="M166" s="9">
        <f t="shared" si="20"/>
        <v>10.296782309019552</v>
      </c>
      <c r="N166" s="9">
        <f t="shared" si="20"/>
        <v>5.1483911545097758</v>
      </c>
      <c r="O166" s="9">
        <f t="shared" si="20"/>
        <v>3.4322607696731842</v>
      </c>
      <c r="P166" s="9">
        <f t="shared" si="20"/>
        <v>2.5741955772548879</v>
      </c>
    </row>
    <row r="167" spans="1:16">
      <c r="A167" s="7"/>
      <c r="C167" s="134"/>
      <c r="G167">
        <f t="shared" si="21"/>
        <v>114</v>
      </c>
      <c r="H167" t="s">
        <v>113</v>
      </c>
      <c r="I167" t="s">
        <v>114</v>
      </c>
      <c r="J167">
        <f t="shared" si="22"/>
        <v>6</v>
      </c>
      <c r="K167" t="s">
        <v>113</v>
      </c>
      <c r="L167" s="9">
        <f t="shared" si="20"/>
        <v>19.010053305617802</v>
      </c>
      <c r="M167" s="9">
        <f t="shared" si="20"/>
        <v>9.5050266528089011</v>
      </c>
      <c r="N167" s="9">
        <f t="shared" si="20"/>
        <v>4.7525133264044506</v>
      </c>
      <c r="O167" s="9">
        <f t="shared" si="20"/>
        <v>3.1683422176029672</v>
      </c>
      <c r="P167" s="9">
        <f t="shared" si="20"/>
        <v>2.3762566632022253</v>
      </c>
    </row>
    <row r="168" spans="1:16">
      <c r="A168" s="7"/>
      <c r="C168" s="134"/>
      <c r="G168">
        <f t="shared" si="21"/>
        <v>127</v>
      </c>
      <c r="H168" t="s">
        <v>113</v>
      </c>
      <c r="I168" t="s">
        <v>114</v>
      </c>
      <c r="J168">
        <f t="shared" si="22"/>
        <v>6</v>
      </c>
      <c r="K168" t="s">
        <v>113</v>
      </c>
      <c r="L168" s="9">
        <f t="shared" si="20"/>
        <v>14.955054411466735</v>
      </c>
      <c r="M168" s="9">
        <f t="shared" si="20"/>
        <v>7.4775272057333675</v>
      </c>
      <c r="N168" s="9">
        <f t="shared" si="20"/>
        <v>3.7387636028666837</v>
      </c>
      <c r="O168" s="9">
        <f t="shared" si="20"/>
        <v>2.4925090685777893</v>
      </c>
      <c r="P168" s="9">
        <f t="shared" si="20"/>
        <v>1.8693818014333419</v>
      </c>
    </row>
    <row r="169" spans="1:16">
      <c r="A169" s="7"/>
      <c r="C169" s="134"/>
      <c r="G169">
        <f t="shared" si="21"/>
        <v>152</v>
      </c>
      <c r="H169" t="s">
        <v>113</v>
      </c>
      <c r="I169" t="s">
        <v>114</v>
      </c>
      <c r="J169">
        <f t="shared" si="22"/>
        <v>6</v>
      </c>
      <c r="K169" t="s">
        <v>113</v>
      </c>
      <c r="L169" s="9">
        <f t="shared" si="20"/>
        <v>10.090846662839162</v>
      </c>
      <c r="M169" s="9">
        <f t="shared" si="20"/>
        <v>5.0454233314195811</v>
      </c>
      <c r="N169" s="9">
        <f t="shared" si="20"/>
        <v>2.5227116657097906</v>
      </c>
      <c r="O169" s="9">
        <f t="shared" si="20"/>
        <v>1.6818077771398603</v>
      </c>
      <c r="P169" s="9">
        <f t="shared" si="20"/>
        <v>1.2613558328548953</v>
      </c>
    </row>
    <row r="170" spans="1:16">
      <c r="A170" s="7"/>
      <c r="C170" s="134"/>
      <c r="G170">
        <f t="shared" si="21"/>
        <v>159</v>
      </c>
      <c r="H170" t="s">
        <v>113</v>
      </c>
      <c r="I170" t="s">
        <v>114</v>
      </c>
      <c r="J170">
        <f t="shared" si="22"/>
        <v>6</v>
      </c>
      <c r="K170" t="s">
        <v>113</v>
      </c>
      <c r="L170" s="9">
        <f t="shared" si="20"/>
        <v>9.1526953857951607</v>
      </c>
      <c r="M170" s="9">
        <f t="shared" si="20"/>
        <v>4.5763476928975804</v>
      </c>
      <c r="N170" s="9">
        <f t="shared" si="20"/>
        <v>2.2881738464487902</v>
      </c>
      <c r="O170" s="9">
        <f t="shared" si="20"/>
        <v>1.52544923096586</v>
      </c>
      <c r="P170" s="9">
        <f t="shared" si="20"/>
        <v>1.1440869232243951</v>
      </c>
    </row>
    <row r="171" spans="1:16">
      <c r="A171" s="7"/>
      <c r="C171" s="134"/>
      <c r="G171">
        <f t="shared" si="21"/>
        <v>168</v>
      </c>
      <c r="H171" t="s">
        <v>113</v>
      </c>
      <c r="I171" t="s">
        <v>114</v>
      </c>
      <c r="J171">
        <f t="shared" si="22"/>
        <v>6</v>
      </c>
      <c r="K171" t="s">
        <v>113</v>
      </c>
      <c r="L171" s="9">
        <f t="shared" ref="L171:P176" si="23">KPZ_Gm/KPZ_ro2_rz/L16</f>
        <v>8.1270790019579042</v>
      </c>
      <c r="M171" s="9">
        <f t="shared" si="23"/>
        <v>4.0635395009789521</v>
      </c>
      <c r="N171" s="9">
        <f t="shared" si="23"/>
        <v>2.0317697504894761</v>
      </c>
      <c r="O171" s="9">
        <f t="shared" si="23"/>
        <v>1.3545131669929842</v>
      </c>
      <c r="P171" s="9">
        <f t="shared" si="23"/>
        <v>1.015884875244738</v>
      </c>
    </row>
    <row r="172" spans="1:16">
      <c r="A172" s="7"/>
      <c r="C172" s="134"/>
      <c r="G172">
        <f t="shared" si="21"/>
        <v>219</v>
      </c>
      <c r="H172" t="s">
        <v>113</v>
      </c>
      <c r="I172" t="s">
        <v>114</v>
      </c>
      <c r="J172">
        <f t="shared" si="22"/>
        <v>7</v>
      </c>
      <c r="K172" t="s">
        <v>113</v>
      </c>
      <c r="L172" s="9">
        <f t="shared" si="23"/>
        <v>4.7062604304972666</v>
      </c>
      <c r="M172" s="9">
        <f t="shared" si="23"/>
        <v>2.3531302152486333</v>
      </c>
      <c r="N172" s="9">
        <f t="shared" si="23"/>
        <v>1.1765651076243167</v>
      </c>
      <c r="O172" s="9">
        <f t="shared" si="23"/>
        <v>0.78437673841621114</v>
      </c>
      <c r="P172" s="9">
        <f t="shared" si="23"/>
        <v>0.58828255381215833</v>
      </c>
    </row>
    <row r="173" spans="1:16">
      <c r="A173" s="7"/>
      <c r="C173" s="134"/>
      <c r="G173">
        <f t="shared" si="21"/>
        <v>273</v>
      </c>
      <c r="H173" t="s">
        <v>113</v>
      </c>
      <c r="I173" t="s">
        <v>114</v>
      </c>
      <c r="J173">
        <f t="shared" si="22"/>
        <v>8</v>
      </c>
      <c r="K173" t="s">
        <v>113</v>
      </c>
      <c r="L173" s="9">
        <f t="shared" si="23"/>
        <v>2.9944525214862843</v>
      </c>
      <c r="M173" s="9">
        <f t="shared" si="23"/>
        <v>1.4972262607431421</v>
      </c>
      <c r="N173" s="9">
        <f t="shared" si="23"/>
        <v>0.74861313037157107</v>
      </c>
      <c r="O173" s="9">
        <f t="shared" si="23"/>
        <v>0.49907542024771406</v>
      </c>
      <c r="P173" s="9">
        <f t="shared" si="23"/>
        <v>0.37430656518578553</v>
      </c>
    </row>
    <row r="174" spans="1:16">
      <c r="A174" s="7"/>
      <c r="C174" s="134"/>
      <c r="G174">
        <f t="shared" si="21"/>
        <v>325</v>
      </c>
      <c r="H174" t="s">
        <v>113</v>
      </c>
      <c r="I174" t="s">
        <v>114</v>
      </c>
      <c r="J174">
        <f t="shared" si="22"/>
        <v>8</v>
      </c>
      <c r="K174" t="s">
        <v>113</v>
      </c>
      <c r="L174" s="9">
        <f t="shared" si="23"/>
        <v>2.0714131040903174</v>
      </c>
      <c r="M174" s="9">
        <f t="shared" si="23"/>
        <v>1.0357065520451587</v>
      </c>
      <c r="N174" s="9">
        <f t="shared" si="23"/>
        <v>0.51785327602257936</v>
      </c>
      <c r="O174" s="9">
        <f t="shared" si="23"/>
        <v>0.3452355173483862</v>
      </c>
      <c r="P174" s="9">
        <f t="shared" si="23"/>
        <v>0.25892663801128968</v>
      </c>
    </row>
    <row r="175" spans="1:16">
      <c r="A175" s="7"/>
      <c r="C175" s="134"/>
      <c r="G175">
        <f t="shared" si="21"/>
        <v>377</v>
      </c>
      <c r="H175" t="s">
        <v>113</v>
      </c>
      <c r="I175" t="s">
        <v>114</v>
      </c>
      <c r="J175">
        <f t="shared" si="22"/>
        <v>8</v>
      </c>
      <c r="K175" t="s">
        <v>113</v>
      </c>
      <c r="L175" s="9">
        <f t="shared" si="23"/>
        <v>1.5176417813832583</v>
      </c>
      <c r="M175" s="9">
        <f t="shared" si="23"/>
        <v>0.75882089069162917</v>
      </c>
      <c r="N175" s="9">
        <f t="shared" si="23"/>
        <v>0.37941044534581458</v>
      </c>
      <c r="O175" s="9">
        <f t="shared" si="23"/>
        <v>0.2529402968972097</v>
      </c>
      <c r="P175" s="9">
        <f t="shared" si="23"/>
        <v>0.18970522267290729</v>
      </c>
    </row>
    <row r="176" spans="1:16">
      <c r="A176" s="7"/>
      <c r="C176" s="134"/>
      <c r="G176">
        <f t="shared" si="21"/>
        <v>426</v>
      </c>
      <c r="H176" t="s">
        <v>113</v>
      </c>
      <c r="I176" t="s">
        <v>114</v>
      </c>
      <c r="J176">
        <f t="shared" si="22"/>
        <v>8</v>
      </c>
      <c r="K176" t="s">
        <v>113</v>
      </c>
      <c r="L176" s="9">
        <f t="shared" si="23"/>
        <v>1.1765651076243167</v>
      </c>
      <c r="M176" s="9">
        <f t="shared" si="23"/>
        <v>0.58828255381215833</v>
      </c>
      <c r="N176" s="9">
        <f t="shared" si="23"/>
        <v>0.29414127690607916</v>
      </c>
      <c r="O176" s="9">
        <f t="shared" si="23"/>
        <v>0.19609418460405278</v>
      </c>
      <c r="P176" s="9">
        <f t="shared" si="23"/>
        <v>0.14707063845303958</v>
      </c>
    </row>
    <row r="177" spans="1:16">
      <c r="A177" s="7"/>
      <c r="C177" s="134"/>
      <c r="L177" s="9"/>
      <c r="M177" s="9"/>
      <c r="N177" s="9"/>
      <c r="O177" s="9"/>
      <c r="P177" s="9"/>
    </row>
    <row r="178" spans="1:16">
      <c r="A178" s="7"/>
      <c r="C178" s="134"/>
      <c r="G178" s="242" t="s">
        <v>965</v>
      </c>
      <c r="H178" s="242"/>
      <c r="I178" s="242"/>
      <c r="J178" s="242"/>
      <c r="K178" s="242"/>
      <c r="L178" s="242"/>
      <c r="M178" s="242"/>
      <c r="N178" s="242"/>
      <c r="O178" s="242"/>
      <c r="P178" s="242"/>
    </row>
    <row r="179" spans="1:16">
      <c r="A179" s="7"/>
      <c r="C179" s="134"/>
      <c r="G179" s="242" t="s">
        <v>111</v>
      </c>
      <c r="H179" s="242"/>
      <c r="I179" s="242"/>
      <c r="J179" s="242"/>
      <c r="K179" s="242"/>
      <c r="L179" s="242" t="s">
        <v>112</v>
      </c>
      <c r="M179" s="242"/>
      <c r="N179" s="242"/>
      <c r="O179" s="242"/>
      <c r="P179" s="242"/>
    </row>
    <row r="180" spans="1:16">
      <c r="A180" s="7"/>
      <c r="C180" s="134"/>
      <c r="G180" s="242"/>
      <c r="H180" s="242"/>
      <c r="I180" s="242"/>
      <c r="J180" s="242"/>
      <c r="K180" s="242"/>
      <c r="L180" s="192">
        <v>1</v>
      </c>
      <c r="M180" s="192">
        <v>2</v>
      </c>
      <c r="N180" s="190">
        <v>4</v>
      </c>
      <c r="O180" s="190">
        <v>6</v>
      </c>
      <c r="P180" s="190">
        <v>8</v>
      </c>
    </row>
    <row r="181" spans="1:16">
      <c r="A181" s="7"/>
      <c r="C181" s="134"/>
      <c r="G181">
        <f>G141</f>
        <v>45</v>
      </c>
      <c r="H181" t="s">
        <v>113</v>
      </c>
      <c r="I181" t="s">
        <v>114</v>
      </c>
      <c r="J181">
        <f>J141</f>
        <v>5</v>
      </c>
      <c r="K181" t="s">
        <v>113</v>
      </c>
      <c r="L181" s="9">
        <f>L141+L161</f>
        <v>165.81419527713658</v>
      </c>
      <c r="M181" s="9">
        <f t="shared" ref="M181:P181" si="24">M141+M161</f>
        <v>82.907097638568288</v>
      </c>
      <c r="N181" s="9">
        <f t="shared" si="24"/>
        <v>41.453548819284144</v>
      </c>
      <c r="O181" s="9">
        <f t="shared" si="24"/>
        <v>27.635699212856096</v>
      </c>
      <c r="P181" s="9">
        <f t="shared" si="24"/>
        <v>20.726774409642072</v>
      </c>
    </row>
    <row r="182" spans="1:16">
      <c r="A182" s="7"/>
      <c r="C182" s="134"/>
      <c r="G182">
        <f t="shared" ref="G182:G196" si="25">G142</f>
        <v>57</v>
      </c>
      <c r="H182" t="s">
        <v>113</v>
      </c>
      <c r="I182" t="s">
        <v>114</v>
      </c>
      <c r="J182">
        <f t="shared" ref="J182:J196" si="26">J142</f>
        <v>5</v>
      </c>
      <c r="K182" t="s">
        <v>113</v>
      </c>
      <c r="L182" s="9">
        <f t="shared" ref="L182:P182" si="27">L142+L162</f>
        <v>91.95219068107393</v>
      </c>
      <c r="M182" s="9">
        <f t="shared" si="27"/>
        <v>45.976095340536965</v>
      </c>
      <c r="N182" s="9">
        <f t="shared" si="27"/>
        <v>22.988047670268482</v>
      </c>
      <c r="O182" s="9">
        <f t="shared" si="27"/>
        <v>15.325365113512323</v>
      </c>
      <c r="P182" s="9">
        <f t="shared" si="27"/>
        <v>11.494023835134241</v>
      </c>
    </row>
    <row r="183" spans="1:16">
      <c r="A183" s="7"/>
      <c r="C183" s="134"/>
      <c r="G183">
        <f t="shared" si="25"/>
        <v>76</v>
      </c>
      <c r="H183" t="s">
        <v>113</v>
      </c>
      <c r="I183" t="s">
        <v>114</v>
      </c>
      <c r="J183">
        <f t="shared" si="26"/>
        <v>5</v>
      </c>
      <c r="K183" t="s">
        <v>113</v>
      </c>
      <c r="L183" s="9">
        <f t="shared" ref="L183:P183" si="28">L143+L163</f>
        <v>46.630484209020274</v>
      </c>
      <c r="M183" s="9">
        <f t="shared" si="28"/>
        <v>23.315242104510137</v>
      </c>
      <c r="N183" s="9">
        <f t="shared" si="28"/>
        <v>11.657621052255069</v>
      </c>
      <c r="O183" s="9">
        <f t="shared" si="28"/>
        <v>7.771747368170046</v>
      </c>
      <c r="P183" s="9">
        <f t="shared" si="28"/>
        <v>5.8288105261275343</v>
      </c>
    </row>
    <row r="184" spans="1:16">
      <c r="A184" s="7"/>
      <c r="C184" s="134"/>
      <c r="G184">
        <f t="shared" si="25"/>
        <v>89</v>
      </c>
      <c r="H184" t="s">
        <v>113</v>
      </c>
      <c r="I184" t="s">
        <v>114</v>
      </c>
      <c r="J184">
        <f t="shared" si="26"/>
        <v>5</v>
      </c>
      <c r="K184" t="s">
        <v>113</v>
      </c>
      <c r="L184" s="9">
        <f t="shared" ref="L184:P184" si="29">L144+L164</f>
        <v>32.546449161110772</v>
      </c>
      <c r="M184" s="9">
        <f t="shared" si="29"/>
        <v>16.273224580555386</v>
      </c>
      <c r="N184" s="9">
        <f t="shared" si="29"/>
        <v>8.1366122902776929</v>
      </c>
      <c r="O184" s="9">
        <f t="shared" si="29"/>
        <v>5.4244081935184623</v>
      </c>
      <c r="P184" s="9">
        <f t="shared" si="29"/>
        <v>4.0683061451388465</v>
      </c>
    </row>
    <row r="185" spans="1:16">
      <c r="A185" s="7"/>
      <c r="C185" s="134"/>
      <c r="G185">
        <f t="shared" si="25"/>
        <v>102</v>
      </c>
      <c r="H185" t="s">
        <v>113</v>
      </c>
      <c r="I185" t="s">
        <v>114</v>
      </c>
      <c r="J185">
        <f t="shared" si="26"/>
        <v>5</v>
      </c>
      <c r="K185" t="s">
        <v>113</v>
      </c>
      <c r="L185" s="9">
        <f t="shared" ref="L185:P185" si="30">L145+L165</f>
        <v>23.998391920426791</v>
      </c>
      <c r="M185" s="9">
        <f t="shared" si="30"/>
        <v>11.999195960213395</v>
      </c>
      <c r="N185" s="9">
        <f t="shared" si="30"/>
        <v>5.9995979801066976</v>
      </c>
      <c r="O185" s="9">
        <f t="shared" si="30"/>
        <v>3.9997319867377983</v>
      </c>
      <c r="P185" s="9">
        <f t="shared" si="30"/>
        <v>2.9997989900533488</v>
      </c>
    </row>
    <row r="186" spans="1:16">
      <c r="A186" s="7"/>
      <c r="C186" s="134"/>
      <c r="G186">
        <f t="shared" si="25"/>
        <v>108</v>
      </c>
      <c r="H186" t="s">
        <v>113</v>
      </c>
      <c r="I186" t="s">
        <v>114</v>
      </c>
      <c r="J186">
        <f t="shared" si="26"/>
        <v>5</v>
      </c>
      <c r="K186" t="s">
        <v>113</v>
      </c>
      <c r="L186" s="9">
        <f t="shared" ref="L186:P186" si="31">L146+L166</f>
        <v>21.149769805757213</v>
      </c>
      <c r="M186" s="9">
        <f t="shared" si="31"/>
        <v>10.574884902878606</v>
      </c>
      <c r="N186" s="9">
        <f t="shared" si="31"/>
        <v>5.2874424514393032</v>
      </c>
      <c r="O186" s="9">
        <f t="shared" si="31"/>
        <v>3.5249616342928691</v>
      </c>
      <c r="P186" s="9">
        <f t="shared" si="31"/>
        <v>2.6437212257196516</v>
      </c>
    </row>
    <row r="187" spans="1:16">
      <c r="A187" s="7"/>
      <c r="C187" s="134"/>
      <c r="G187">
        <f t="shared" si="25"/>
        <v>114</v>
      </c>
      <c r="H187" t="s">
        <v>113</v>
      </c>
      <c r="I187" t="s">
        <v>114</v>
      </c>
      <c r="J187">
        <f t="shared" si="26"/>
        <v>6</v>
      </c>
      <c r="K187" t="s">
        <v>113</v>
      </c>
      <c r="L187" s="9">
        <f t="shared" ref="L187:P187" si="32">L147+L167</f>
        <v>19.523489928344134</v>
      </c>
      <c r="M187" s="9">
        <f t="shared" si="32"/>
        <v>9.7617449641720668</v>
      </c>
      <c r="N187" s="9">
        <f t="shared" si="32"/>
        <v>4.8808724820860334</v>
      </c>
      <c r="O187" s="9">
        <f t="shared" si="32"/>
        <v>3.2539149880573555</v>
      </c>
      <c r="P187" s="9">
        <f t="shared" si="32"/>
        <v>2.4404362410430167</v>
      </c>
    </row>
    <row r="188" spans="1:16">
      <c r="A188" s="7"/>
      <c r="C188" s="134"/>
      <c r="G188">
        <f t="shared" si="25"/>
        <v>127</v>
      </c>
      <c r="H188" t="s">
        <v>113</v>
      </c>
      <c r="I188" t="s">
        <v>114</v>
      </c>
      <c r="J188">
        <f t="shared" si="26"/>
        <v>6</v>
      </c>
      <c r="K188" t="s">
        <v>113</v>
      </c>
      <c r="L188" s="9">
        <f t="shared" ref="L188:P188" si="33">L148+L168</f>
        <v>15.358970829073142</v>
      </c>
      <c r="M188" s="9">
        <f t="shared" si="33"/>
        <v>7.679485414536571</v>
      </c>
      <c r="N188" s="9">
        <f t="shared" si="33"/>
        <v>3.8397427072682855</v>
      </c>
      <c r="O188" s="9">
        <f t="shared" si="33"/>
        <v>2.5598284715121906</v>
      </c>
      <c r="P188" s="9">
        <f t="shared" si="33"/>
        <v>1.9198713536341427</v>
      </c>
    </row>
    <row r="189" spans="1:16">
      <c r="A189" s="7"/>
      <c r="C189" s="134"/>
      <c r="G189">
        <f t="shared" si="25"/>
        <v>152</v>
      </c>
      <c r="H189" t="s">
        <v>113</v>
      </c>
      <c r="I189" t="s">
        <v>114</v>
      </c>
      <c r="J189">
        <f t="shared" si="26"/>
        <v>6</v>
      </c>
      <c r="K189" t="s">
        <v>113</v>
      </c>
      <c r="L189" s="9">
        <f t="shared" ref="L189:P189" si="34">L149+L169</f>
        <v>10.363387204821036</v>
      </c>
      <c r="M189" s="9">
        <f t="shared" si="34"/>
        <v>5.181693602410518</v>
      </c>
      <c r="N189" s="9">
        <f t="shared" si="34"/>
        <v>2.590846801205259</v>
      </c>
      <c r="O189" s="9">
        <f t="shared" si="34"/>
        <v>1.727231200803506</v>
      </c>
      <c r="P189" s="9">
        <f t="shared" si="34"/>
        <v>1.2954234006026295</v>
      </c>
    </row>
    <row r="190" spans="1:16">
      <c r="A190" s="7"/>
      <c r="C190" s="134"/>
      <c r="G190">
        <f t="shared" si="25"/>
        <v>159</v>
      </c>
      <c r="H190" t="s">
        <v>113</v>
      </c>
      <c r="I190" t="s">
        <v>114</v>
      </c>
      <c r="J190">
        <f t="shared" si="26"/>
        <v>6</v>
      </c>
      <c r="K190" t="s">
        <v>113</v>
      </c>
      <c r="L190" s="9">
        <f t="shared" ref="L190:P190" si="35">L150+L170</f>
        <v>9.399897691447654</v>
      </c>
      <c r="M190" s="9">
        <f t="shared" si="35"/>
        <v>4.699948845723827</v>
      </c>
      <c r="N190" s="9">
        <f t="shared" si="35"/>
        <v>2.3499744228619135</v>
      </c>
      <c r="O190" s="9">
        <f t="shared" si="35"/>
        <v>1.5666496152412757</v>
      </c>
      <c r="P190" s="9">
        <f t="shared" si="35"/>
        <v>1.1749872114309567</v>
      </c>
    </row>
    <row r="191" spans="1:16">
      <c r="A191" s="7"/>
      <c r="C191" s="134"/>
      <c r="G191">
        <f t="shared" si="25"/>
        <v>168</v>
      </c>
      <c r="H191" t="s">
        <v>113</v>
      </c>
      <c r="I191" t="s">
        <v>114</v>
      </c>
      <c r="J191">
        <f t="shared" si="26"/>
        <v>6</v>
      </c>
      <c r="K191" t="s">
        <v>113</v>
      </c>
      <c r="L191" s="9">
        <f t="shared" ref="L191:P191" si="36">L151+L171</f>
        <v>8.3465807533897234</v>
      </c>
      <c r="M191" s="9">
        <f t="shared" si="36"/>
        <v>4.1732903766948617</v>
      </c>
      <c r="N191" s="9">
        <f t="shared" si="36"/>
        <v>2.0866451883474308</v>
      </c>
      <c r="O191" s="9">
        <f t="shared" si="36"/>
        <v>1.3910967922316206</v>
      </c>
      <c r="P191" s="9">
        <f t="shared" si="36"/>
        <v>1.0433225941737154</v>
      </c>
    </row>
    <row r="192" spans="1:16">
      <c r="A192" s="7"/>
      <c r="C192" s="134"/>
      <c r="G192">
        <f t="shared" si="25"/>
        <v>219</v>
      </c>
      <c r="H192" t="s">
        <v>113</v>
      </c>
      <c r="I192" t="s">
        <v>114</v>
      </c>
      <c r="J192">
        <f t="shared" si="26"/>
        <v>7</v>
      </c>
      <c r="K192" t="s">
        <v>113</v>
      </c>
      <c r="L192" s="9">
        <f t="shared" ref="L192:P192" si="37">L152+L172</f>
        <v>4.8333703560854815</v>
      </c>
      <c r="M192" s="9">
        <f t="shared" si="37"/>
        <v>2.4166851780427407</v>
      </c>
      <c r="N192" s="9">
        <f t="shared" si="37"/>
        <v>1.2083425890213704</v>
      </c>
      <c r="O192" s="9">
        <f t="shared" si="37"/>
        <v>0.80556172601424703</v>
      </c>
      <c r="P192" s="9">
        <f t="shared" si="37"/>
        <v>0.60417129451068519</v>
      </c>
    </row>
    <row r="193" spans="1:16">
      <c r="A193" s="7"/>
      <c r="C193" s="134"/>
      <c r="G193">
        <f t="shared" si="25"/>
        <v>273</v>
      </c>
      <c r="H193" t="s">
        <v>113</v>
      </c>
      <c r="I193" t="s">
        <v>114</v>
      </c>
      <c r="J193">
        <f t="shared" si="26"/>
        <v>8</v>
      </c>
      <c r="K193" t="s">
        <v>113</v>
      </c>
      <c r="L193" s="9">
        <f t="shared" ref="L193:P193" si="38">L153+L173</f>
        <v>3.0753287591711054</v>
      </c>
      <c r="M193" s="9">
        <f t="shared" si="38"/>
        <v>1.5376643795855527</v>
      </c>
      <c r="N193" s="9">
        <f t="shared" si="38"/>
        <v>0.76883218979277634</v>
      </c>
      <c r="O193" s="9">
        <f t="shared" si="38"/>
        <v>0.51255479319518427</v>
      </c>
      <c r="P193" s="9">
        <f t="shared" si="38"/>
        <v>0.38441609489638817</v>
      </c>
    </row>
    <row r="194" spans="1:16">
      <c r="A194" s="7"/>
      <c r="C194" s="134"/>
      <c r="G194">
        <f t="shared" si="25"/>
        <v>325</v>
      </c>
      <c r="H194" t="s">
        <v>113</v>
      </c>
      <c r="I194" t="s">
        <v>114</v>
      </c>
      <c r="J194">
        <f t="shared" si="26"/>
        <v>8</v>
      </c>
      <c r="K194" t="s">
        <v>113</v>
      </c>
      <c r="L194" s="9">
        <f t="shared" ref="L194:P194" si="39">L154+L174</f>
        <v>2.1273592569672743</v>
      </c>
      <c r="M194" s="9">
        <f t="shared" si="39"/>
        <v>1.0636796284836372</v>
      </c>
      <c r="N194" s="9">
        <f t="shared" si="39"/>
        <v>0.53183981424181859</v>
      </c>
      <c r="O194" s="9">
        <f t="shared" si="39"/>
        <v>0.35455987616121237</v>
      </c>
      <c r="P194" s="9">
        <f t="shared" si="39"/>
        <v>0.26591990712090929</v>
      </c>
    </row>
    <row r="195" spans="1:16">
      <c r="A195" s="7"/>
      <c r="C195" s="134"/>
      <c r="G195">
        <f t="shared" si="25"/>
        <v>377</v>
      </c>
      <c r="H195" t="s">
        <v>113</v>
      </c>
      <c r="I195" t="s">
        <v>114</v>
      </c>
      <c r="J195">
        <f t="shared" si="26"/>
        <v>8</v>
      </c>
      <c r="K195" t="s">
        <v>113</v>
      </c>
      <c r="L195" s="9">
        <f t="shared" ref="L195:P195" si="40">L155+L175</f>
        <v>1.5586312966789109</v>
      </c>
      <c r="M195" s="9">
        <f t="shared" si="40"/>
        <v>0.77931564833945544</v>
      </c>
      <c r="N195" s="9">
        <f t="shared" si="40"/>
        <v>0.38965782416972772</v>
      </c>
      <c r="O195" s="9">
        <f t="shared" si="40"/>
        <v>0.25977188277981844</v>
      </c>
      <c r="P195" s="9">
        <f t="shared" si="40"/>
        <v>0.19482891208486386</v>
      </c>
    </row>
    <row r="196" spans="1:16">
      <c r="A196" s="7"/>
      <c r="C196" s="134"/>
      <c r="G196">
        <f t="shared" si="25"/>
        <v>426</v>
      </c>
      <c r="H196" t="s">
        <v>113</v>
      </c>
      <c r="I196" t="s">
        <v>114</v>
      </c>
      <c r="J196">
        <f t="shared" si="26"/>
        <v>8</v>
      </c>
      <c r="K196" t="s">
        <v>113</v>
      </c>
      <c r="L196" s="9">
        <f t="shared" ref="L196:P196" si="41">L156+L176</f>
        <v>1.2083425890213704</v>
      </c>
      <c r="M196" s="9">
        <f t="shared" si="41"/>
        <v>0.60417129451068519</v>
      </c>
      <c r="N196" s="9">
        <f t="shared" si="41"/>
        <v>0.30208564725534259</v>
      </c>
      <c r="O196" s="9">
        <f t="shared" si="41"/>
        <v>0.20139043150356176</v>
      </c>
      <c r="P196" s="9">
        <f t="shared" si="41"/>
        <v>0.1510428236276713</v>
      </c>
    </row>
    <row r="197" spans="1:16">
      <c r="A197" s="7"/>
      <c r="C197" s="134"/>
      <c r="L197" s="9"/>
      <c r="M197" s="9"/>
      <c r="N197" s="9"/>
      <c r="O197" s="9"/>
      <c r="P197" s="9"/>
    </row>
    <row r="198" spans="1:16">
      <c r="A198" s="7"/>
      <c r="C198" s="134"/>
    </row>
    <row r="199" spans="1:16">
      <c r="A199" s="17" t="s">
        <v>926</v>
      </c>
      <c r="G199" s="15"/>
      <c r="H199" s="15"/>
      <c r="I199" s="15"/>
      <c r="J199" s="15"/>
      <c r="K199" s="15"/>
      <c r="L199" s="242" t="s">
        <v>115</v>
      </c>
      <c r="M199" s="242"/>
      <c r="N199" s="242"/>
      <c r="O199" s="242"/>
      <c r="P199" s="242"/>
    </row>
    <row r="200" spans="1:16">
      <c r="G200" s="242" t="s">
        <v>111</v>
      </c>
      <c r="H200" s="242"/>
      <c r="I200" s="242"/>
      <c r="J200" s="242"/>
      <c r="K200" s="242"/>
      <c r="L200" s="242" t="s">
        <v>112</v>
      </c>
      <c r="M200" s="242"/>
      <c r="N200" s="242"/>
      <c r="O200" s="242"/>
      <c r="P200" s="242"/>
    </row>
    <row r="201" spans="1:16">
      <c r="A201" t="s">
        <v>106</v>
      </c>
      <c r="B201" t="s">
        <v>107</v>
      </c>
      <c r="C201" s="1">
        <v>196.3</v>
      </c>
      <c r="G201" s="242"/>
      <c r="H201" s="242"/>
      <c r="I201" s="242"/>
      <c r="J201" s="242"/>
      <c r="K201" s="242"/>
      <c r="L201" s="190">
        <v>1</v>
      </c>
      <c r="M201" s="190">
        <v>2</v>
      </c>
      <c r="N201" s="190">
        <v>4</v>
      </c>
      <c r="O201" s="190">
        <v>6</v>
      </c>
      <c r="P201" s="190">
        <v>8</v>
      </c>
    </row>
    <row r="202" spans="1:16">
      <c r="A202" t="s">
        <v>108</v>
      </c>
      <c r="B202" t="s">
        <v>107</v>
      </c>
      <c r="C202" s="1">
        <v>1562</v>
      </c>
      <c r="G202">
        <f>G6</f>
        <v>45</v>
      </c>
      <c r="H202" t="s">
        <v>113</v>
      </c>
      <c r="I202" t="s">
        <v>114</v>
      </c>
      <c r="J202">
        <f>J6</f>
        <v>5</v>
      </c>
      <c r="K202" t="s">
        <v>113</v>
      </c>
      <c r="L202" s="9">
        <f t="shared" ref="L202:P211" si="42">KPZ_Gm/L6</f>
        <v>2887.1645005332484</v>
      </c>
      <c r="M202" s="9">
        <f t="shared" si="42"/>
        <v>1443.5822502666242</v>
      </c>
      <c r="N202" s="9">
        <f t="shared" si="42"/>
        <v>721.79112513331211</v>
      </c>
      <c r="O202" s="9">
        <f t="shared" si="42"/>
        <v>481.19408342220805</v>
      </c>
      <c r="P202" s="9">
        <f t="shared" si="42"/>
        <v>360.89556256665605</v>
      </c>
    </row>
    <row r="203" spans="1:16">
      <c r="G203">
        <f t="shared" ref="G203:G217" si="43">G7</f>
        <v>57</v>
      </c>
      <c r="H203" t="s">
        <v>113</v>
      </c>
      <c r="I203" t="s">
        <v>114</v>
      </c>
      <c r="J203">
        <f t="shared" ref="J203:J217" si="44">J7</f>
        <v>5</v>
      </c>
      <c r="K203" t="s">
        <v>113</v>
      </c>
      <c r="L203" s="9">
        <f t="shared" si="42"/>
        <v>1601.0758321200678</v>
      </c>
      <c r="M203" s="9">
        <f t="shared" si="42"/>
        <v>800.53791606003392</v>
      </c>
      <c r="N203" s="9">
        <f t="shared" si="42"/>
        <v>400.26895803001696</v>
      </c>
      <c r="O203" s="9">
        <f t="shared" si="42"/>
        <v>266.84597202001129</v>
      </c>
      <c r="P203" s="9">
        <f t="shared" si="42"/>
        <v>200.13447901500848</v>
      </c>
    </row>
    <row r="204" spans="1:16">
      <c r="A204" t="s">
        <v>954</v>
      </c>
      <c r="B204" s="66" t="s">
        <v>249</v>
      </c>
      <c r="C204" s="1">
        <v>1</v>
      </c>
      <c r="G204">
        <f t="shared" si="43"/>
        <v>76</v>
      </c>
      <c r="H204" t="s">
        <v>113</v>
      </c>
      <c r="I204" t="s">
        <v>114</v>
      </c>
      <c r="J204">
        <f t="shared" si="44"/>
        <v>5</v>
      </c>
      <c r="K204" t="s">
        <v>113</v>
      </c>
      <c r="L204" s="9">
        <f t="shared" si="42"/>
        <v>811.93216555400124</v>
      </c>
      <c r="M204" s="9">
        <f t="shared" si="42"/>
        <v>405.96608277700062</v>
      </c>
      <c r="N204" s="9">
        <f t="shared" si="42"/>
        <v>202.98304138850031</v>
      </c>
      <c r="O204" s="9">
        <f t="shared" si="42"/>
        <v>135.32202759233354</v>
      </c>
      <c r="P204" s="9">
        <f t="shared" si="42"/>
        <v>101.49152069425016</v>
      </c>
    </row>
    <row r="205" spans="1:16">
      <c r="A205" t="s">
        <v>956</v>
      </c>
      <c r="B205" s="66" t="s">
        <v>249</v>
      </c>
      <c r="C205" s="1">
        <v>100</v>
      </c>
      <c r="G205">
        <f t="shared" si="43"/>
        <v>89</v>
      </c>
      <c r="H205" t="s">
        <v>113</v>
      </c>
      <c r="I205" t="s">
        <v>114</v>
      </c>
      <c r="J205">
        <f t="shared" si="44"/>
        <v>5</v>
      </c>
      <c r="K205" t="s">
        <v>113</v>
      </c>
      <c r="L205" s="9">
        <f t="shared" si="42"/>
        <v>566.70029052286975</v>
      </c>
      <c r="M205" s="9">
        <f t="shared" si="42"/>
        <v>283.35014526143488</v>
      </c>
      <c r="N205" s="9">
        <f t="shared" si="42"/>
        <v>141.67507263071744</v>
      </c>
      <c r="O205" s="9">
        <f t="shared" si="42"/>
        <v>94.450048420478296</v>
      </c>
      <c r="P205" s="9">
        <f t="shared" si="42"/>
        <v>70.837536315358719</v>
      </c>
    </row>
    <row r="206" spans="1:16">
      <c r="G206">
        <f t="shared" si="43"/>
        <v>102</v>
      </c>
      <c r="H206" t="s">
        <v>113</v>
      </c>
      <c r="I206" t="s">
        <v>114</v>
      </c>
      <c r="J206">
        <f t="shared" si="44"/>
        <v>5</v>
      </c>
      <c r="K206" t="s">
        <v>113</v>
      </c>
      <c r="L206" s="9">
        <f t="shared" si="42"/>
        <v>417.86111922887881</v>
      </c>
      <c r="M206" s="9">
        <f t="shared" si="42"/>
        <v>208.9305596144394</v>
      </c>
      <c r="N206" s="9">
        <f t="shared" si="42"/>
        <v>104.4652798072197</v>
      </c>
      <c r="O206" s="9">
        <f t="shared" si="42"/>
        <v>69.643519871479796</v>
      </c>
      <c r="P206" s="9">
        <f t="shared" si="42"/>
        <v>52.232639903609851</v>
      </c>
    </row>
    <row r="207" spans="1:16">
      <c r="A207" s="7" t="s">
        <v>957</v>
      </c>
      <c r="B207" t="s">
        <v>249</v>
      </c>
      <c r="C207" s="68">
        <v>0.5</v>
      </c>
      <c r="G207">
        <f t="shared" si="43"/>
        <v>108</v>
      </c>
      <c r="H207" t="s">
        <v>113</v>
      </c>
      <c r="I207" t="s">
        <v>114</v>
      </c>
      <c r="J207">
        <f t="shared" si="44"/>
        <v>5</v>
      </c>
      <c r="K207" t="s">
        <v>113</v>
      </c>
      <c r="L207" s="9">
        <f t="shared" si="42"/>
        <v>368.26077812924086</v>
      </c>
      <c r="M207" s="9">
        <f t="shared" si="42"/>
        <v>184.13038906462043</v>
      </c>
      <c r="N207" s="9">
        <f t="shared" si="42"/>
        <v>92.065194532310215</v>
      </c>
      <c r="O207" s="9">
        <f t="shared" si="42"/>
        <v>61.376796354873477</v>
      </c>
      <c r="P207" s="9">
        <f t="shared" si="42"/>
        <v>46.032597266155108</v>
      </c>
    </row>
    <row r="208" spans="1:16">
      <c r="A208" t="s">
        <v>955</v>
      </c>
      <c r="B208" t="s">
        <v>249</v>
      </c>
      <c r="C208" s="69">
        <v>3</v>
      </c>
      <c r="G208">
        <f t="shared" si="43"/>
        <v>114</v>
      </c>
      <c r="H208" t="s">
        <v>113</v>
      </c>
      <c r="I208" t="s">
        <v>114</v>
      </c>
      <c r="J208">
        <f t="shared" si="44"/>
        <v>6</v>
      </c>
      <c r="K208" t="s">
        <v>113</v>
      </c>
      <c r="L208" s="9">
        <f t="shared" si="42"/>
        <v>339.94391706586219</v>
      </c>
      <c r="M208" s="9">
        <f t="shared" si="42"/>
        <v>169.9719585329311</v>
      </c>
      <c r="N208" s="9">
        <f t="shared" si="42"/>
        <v>84.985979266465549</v>
      </c>
      <c r="O208" s="9">
        <f t="shared" si="42"/>
        <v>56.657319510977032</v>
      </c>
      <c r="P208" s="9">
        <f t="shared" si="42"/>
        <v>42.492989633232774</v>
      </c>
    </row>
    <row r="209" spans="1:16">
      <c r="C209" s="196"/>
      <c r="G209">
        <f t="shared" si="43"/>
        <v>127</v>
      </c>
      <c r="H209" t="s">
        <v>113</v>
      </c>
      <c r="I209" t="s">
        <v>114</v>
      </c>
      <c r="J209">
        <f t="shared" si="44"/>
        <v>6</v>
      </c>
      <c r="K209" t="s">
        <v>113</v>
      </c>
      <c r="L209" s="9">
        <f t="shared" si="42"/>
        <v>267.43111630648235</v>
      </c>
      <c r="M209" s="9">
        <f t="shared" si="42"/>
        <v>133.71555815324118</v>
      </c>
      <c r="N209" s="9">
        <f t="shared" si="42"/>
        <v>66.857779076620588</v>
      </c>
      <c r="O209" s="9">
        <f t="shared" si="42"/>
        <v>44.571852717747063</v>
      </c>
      <c r="P209" s="9">
        <f t="shared" si="42"/>
        <v>33.428889538310294</v>
      </c>
    </row>
    <row r="210" spans="1:16">
      <c r="A210" s="7" t="s">
        <v>959</v>
      </c>
      <c r="B210" t="s">
        <v>249</v>
      </c>
      <c r="C210" s="68">
        <v>1</v>
      </c>
      <c r="G210">
        <f t="shared" si="43"/>
        <v>152</v>
      </c>
      <c r="H210" t="s">
        <v>113</v>
      </c>
      <c r="I210" t="s">
        <v>114</v>
      </c>
      <c r="J210">
        <f t="shared" si="44"/>
        <v>6</v>
      </c>
      <c r="K210" t="s">
        <v>113</v>
      </c>
      <c r="L210" s="9">
        <f t="shared" si="42"/>
        <v>180.44778128332803</v>
      </c>
      <c r="M210" s="9">
        <f t="shared" si="42"/>
        <v>90.223890641664013</v>
      </c>
      <c r="N210" s="9">
        <f t="shared" si="42"/>
        <v>45.111945320832007</v>
      </c>
      <c r="O210" s="9">
        <f t="shared" si="42"/>
        <v>30.074630213888003</v>
      </c>
      <c r="P210" s="9">
        <f t="shared" si="42"/>
        <v>22.555972660416003</v>
      </c>
    </row>
    <row r="211" spans="1:16">
      <c r="A211" t="s">
        <v>962</v>
      </c>
      <c r="B211" t="s">
        <v>249</v>
      </c>
      <c r="C211" s="68">
        <v>100</v>
      </c>
      <c r="G211">
        <f t="shared" si="43"/>
        <v>159</v>
      </c>
      <c r="H211" t="s">
        <v>113</v>
      </c>
      <c r="I211" t="s">
        <v>114</v>
      </c>
      <c r="J211">
        <f t="shared" si="44"/>
        <v>6</v>
      </c>
      <c r="K211" t="s">
        <v>113</v>
      </c>
      <c r="L211" s="9">
        <f t="shared" si="42"/>
        <v>163.67145694632933</v>
      </c>
      <c r="M211" s="9">
        <f t="shared" si="42"/>
        <v>81.835728473164664</v>
      </c>
      <c r="N211" s="9">
        <f t="shared" si="42"/>
        <v>40.917864236582332</v>
      </c>
      <c r="O211" s="9">
        <f t="shared" si="42"/>
        <v>27.278576157721552</v>
      </c>
      <c r="P211" s="9">
        <f t="shared" si="42"/>
        <v>20.458932118291166</v>
      </c>
    </row>
    <row r="212" spans="1:16">
      <c r="G212">
        <f t="shared" si="43"/>
        <v>168</v>
      </c>
      <c r="H212" t="s">
        <v>113</v>
      </c>
      <c r="I212" t="s">
        <v>114</v>
      </c>
      <c r="J212">
        <f t="shared" si="44"/>
        <v>6</v>
      </c>
      <c r="K212" t="s">
        <v>113</v>
      </c>
      <c r="L212" s="9">
        <f t="shared" ref="L212:P217" si="45">KPZ_Gm/L16</f>
        <v>145.33105330182568</v>
      </c>
      <c r="M212" s="9">
        <f t="shared" si="45"/>
        <v>72.665526650912838</v>
      </c>
      <c r="N212" s="9">
        <f t="shared" si="45"/>
        <v>36.332763325456419</v>
      </c>
      <c r="O212" s="9">
        <f t="shared" si="45"/>
        <v>24.221842216970945</v>
      </c>
      <c r="P212" s="9">
        <f t="shared" si="45"/>
        <v>18.16638166272821</v>
      </c>
    </row>
    <row r="213" spans="1:16">
      <c r="G213">
        <f t="shared" si="43"/>
        <v>219</v>
      </c>
      <c r="H213" t="s">
        <v>113</v>
      </c>
      <c r="I213" t="s">
        <v>114</v>
      </c>
      <c r="J213">
        <f t="shared" si="44"/>
        <v>7</v>
      </c>
      <c r="K213" t="s">
        <v>113</v>
      </c>
      <c r="L213" s="9">
        <f t="shared" si="45"/>
        <v>84.158870033390372</v>
      </c>
      <c r="M213" s="9">
        <f t="shared" si="45"/>
        <v>42.079435016695186</v>
      </c>
      <c r="N213" s="9">
        <f t="shared" si="45"/>
        <v>21.039717508347593</v>
      </c>
      <c r="O213" s="9">
        <f t="shared" si="45"/>
        <v>14.026478338898396</v>
      </c>
      <c r="P213" s="9">
        <f t="shared" si="45"/>
        <v>10.519858754173796</v>
      </c>
    </row>
    <row r="214" spans="1:16">
      <c r="A214" s="7" t="s">
        <v>964</v>
      </c>
      <c r="C214" s="65">
        <f>C69</f>
        <v>1</v>
      </c>
      <c r="G214">
        <f t="shared" si="43"/>
        <v>273</v>
      </c>
      <c r="H214" t="s">
        <v>113</v>
      </c>
      <c r="I214" t="s">
        <v>114</v>
      </c>
      <c r="J214">
        <f t="shared" si="44"/>
        <v>8</v>
      </c>
      <c r="K214" t="s">
        <v>113</v>
      </c>
      <c r="L214" s="9">
        <f t="shared" si="45"/>
        <v>53.547767765647166</v>
      </c>
      <c r="M214" s="9">
        <f t="shared" si="45"/>
        <v>26.773883882823583</v>
      </c>
      <c r="N214" s="9">
        <f t="shared" si="45"/>
        <v>13.386941941411791</v>
      </c>
      <c r="O214" s="9">
        <f t="shared" si="45"/>
        <v>8.9246279609411943</v>
      </c>
      <c r="P214" s="9">
        <f t="shared" si="45"/>
        <v>6.6934709707058957</v>
      </c>
    </row>
    <row r="215" spans="1:16">
      <c r="A215" s="7" t="s">
        <v>963</v>
      </c>
      <c r="B215" t="s">
        <v>113</v>
      </c>
      <c r="C215" s="1">
        <v>219</v>
      </c>
      <c r="G215">
        <f t="shared" si="43"/>
        <v>325</v>
      </c>
      <c r="H215" t="s">
        <v>113</v>
      </c>
      <c r="I215" t="s">
        <v>114</v>
      </c>
      <c r="J215">
        <f t="shared" si="44"/>
        <v>8</v>
      </c>
      <c r="K215" t="s">
        <v>113</v>
      </c>
      <c r="L215" s="9">
        <f t="shared" si="45"/>
        <v>37.04167858687309</v>
      </c>
      <c r="M215" s="9">
        <f t="shared" si="45"/>
        <v>18.520839293436545</v>
      </c>
      <c r="N215" s="9">
        <f t="shared" si="45"/>
        <v>9.2604196467182724</v>
      </c>
      <c r="O215" s="9">
        <f t="shared" si="45"/>
        <v>6.1736130978121819</v>
      </c>
      <c r="P215" s="9">
        <f t="shared" si="45"/>
        <v>4.6302098233591362</v>
      </c>
    </row>
    <row r="216" spans="1:16">
      <c r="A216" s="195"/>
      <c r="B216" s="66"/>
      <c r="C216" s="66"/>
      <c r="G216">
        <f t="shared" si="43"/>
        <v>377</v>
      </c>
      <c r="H216" t="s">
        <v>113</v>
      </c>
      <c r="I216" t="s">
        <v>114</v>
      </c>
      <c r="J216">
        <f t="shared" si="44"/>
        <v>8</v>
      </c>
      <c r="K216" t="s">
        <v>113</v>
      </c>
      <c r="L216" s="9">
        <f t="shared" si="45"/>
        <v>27.138960820997614</v>
      </c>
      <c r="M216" s="9">
        <f t="shared" si="45"/>
        <v>13.569480410498807</v>
      </c>
      <c r="N216" s="9">
        <f t="shared" si="45"/>
        <v>6.7847402052494035</v>
      </c>
      <c r="O216" s="9">
        <f t="shared" si="45"/>
        <v>4.5231601368329351</v>
      </c>
      <c r="P216" s="9">
        <f t="shared" si="45"/>
        <v>3.3923701026247017</v>
      </c>
    </row>
    <row r="217" spans="1:16">
      <c r="A217" s="66"/>
      <c r="B217" s="66"/>
      <c r="C217" s="66"/>
      <c r="G217">
        <f t="shared" si="43"/>
        <v>426</v>
      </c>
      <c r="H217" t="s">
        <v>113</v>
      </c>
      <c r="I217" t="s">
        <v>114</v>
      </c>
      <c r="J217">
        <f t="shared" si="44"/>
        <v>8</v>
      </c>
      <c r="K217" t="s">
        <v>113</v>
      </c>
      <c r="L217" s="9">
        <f t="shared" si="45"/>
        <v>21.039717508347593</v>
      </c>
      <c r="M217" s="9">
        <f t="shared" si="45"/>
        <v>10.519858754173796</v>
      </c>
      <c r="N217" s="9">
        <f t="shared" si="45"/>
        <v>5.2599293770868982</v>
      </c>
      <c r="O217" s="9">
        <f t="shared" si="45"/>
        <v>3.5066195847245991</v>
      </c>
      <c r="P217" s="9">
        <f t="shared" si="45"/>
        <v>2.6299646885434491</v>
      </c>
    </row>
    <row r="218" spans="1:16">
      <c r="A218" s="66"/>
      <c r="B218" s="66"/>
      <c r="C218" s="66"/>
      <c r="L218" s="9"/>
      <c r="M218" s="9"/>
      <c r="N218" s="9"/>
      <c r="O218" s="9"/>
      <c r="P218" s="9"/>
    </row>
    <row r="219" spans="1:16">
      <c r="A219" s="66"/>
      <c r="B219" s="66"/>
      <c r="C219" s="66"/>
      <c r="L219" s="9"/>
      <c r="M219" s="9"/>
      <c r="N219" s="9"/>
      <c r="O219" s="9"/>
      <c r="P219" s="9"/>
    </row>
    <row r="220" spans="1:16">
      <c r="G220" s="6" t="s">
        <v>953</v>
      </c>
    </row>
    <row r="221" spans="1:16">
      <c r="G221" s="242" t="s">
        <v>948</v>
      </c>
      <c r="H221" s="242"/>
      <c r="I221" s="242"/>
      <c r="J221" s="242"/>
      <c r="K221" s="242"/>
      <c r="L221" s="242"/>
      <c r="M221" s="242"/>
      <c r="N221" s="242"/>
      <c r="O221" s="242"/>
      <c r="P221" s="242"/>
    </row>
    <row r="222" spans="1:16">
      <c r="G222" s="242" t="s">
        <v>111</v>
      </c>
      <c r="H222" s="242"/>
      <c r="I222" s="242"/>
      <c r="J222" s="242"/>
      <c r="K222" s="242"/>
      <c r="L222" s="242" t="s">
        <v>112</v>
      </c>
      <c r="M222" s="242"/>
      <c r="N222" s="242"/>
      <c r="O222" s="242"/>
      <c r="P222" s="242"/>
    </row>
    <row r="223" spans="1:16">
      <c r="G223" s="242"/>
      <c r="H223" s="242"/>
      <c r="I223" s="242"/>
      <c r="J223" s="242"/>
      <c r="K223" s="242"/>
      <c r="L223" s="190">
        <v>1</v>
      </c>
      <c r="M223" s="190">
        <v>2</v>
      </c>
      <c r="N223" s="190">
        <v>4</v>
      </c>
      <c r="O223" s="190">
        <v>6</v>
      </c>
      <c r="P223" s="190">
        <v>8</v>
      </c>
    </row>
    <row r="224" spans="1:16">
      <c r="G224">
        <f>G202</f>
        <v>45</v>
      </c>
      <c r="H224" t="s">
        <v>113</v>
      </c>
      <c r="I224" t="s">
        <v>114</v>
      </c>
      <c r="J224">
        <f>J202</f>
        <v>5</v>
      </c>
      <c r="K224" t="s">
        <v>113</v>
      </c>
      <c r="L224" s="9">
        <f t="shared" ref="L224:P233" si="46">KPZ_Gm/KPZ_ro1_r2z/L6</f>
        <v>4.5121815718020324</v>
      </c>
      <c r="M224" s="9">
        <f t="shared" si="46"/>
        <v>2.2560907859010162</v>
      </c>
      <c r="N224" s="9">
        <f t="shared" si="46"/>
        <v>1.1280453929505081</v>
      </c>
      <c r="O224" s="9">
        <f t="shared" si="46"/>
        <v>0.7520302619670054</v>
      </c>
      <c r="P224" s="9">
        <f t="shared" si="46"/>
        <v>0.56402269647525405</v>
      </c>
    </row>
    <row r="225" spans="7:16">
      <c r="G225">
        <f t="shared" ref="G225:G239" si="47">G203</f>
        <v>57</v>
      </c>
      <c r="H225" t="s">
        <v>113</v>
      </c>
      <c r="I225" t="s">
        <v>114</v>
      </c>
      <c r="J225">
        <f t="shared" ref="J225:J239" si="48">J203</f>
        <v>5</v>
      </c>
      <c r="K225" t="s">
        <v>113</v>
      </c>
      <c r="L225" s="9">
        <f t="shared" si="46"/>
        <v>2.5022283501391991</v>
      </c>
      <c r="M225" s="9">
        <f t="shared" si="46"/>
        <v>1.2511141750695995</v>
      </c>
      <c r="N225" s="9">
        <f t="shared" si="46"/>
        <v>0.62555708753479977</v>
      </c>
      <c r="O225" s="9">
        <f t="shared" si="46"/>
        <v>0.41703805835653318</v>
      </c>
      <c r="P225" s="9">
        <f t="shared" si="46"/>
        <v>0.31277854376739989</v>
      </c>
    </row>
    <row r="226" spans="7:16">
      <c r="G226">
        <f t="shared" si="47"/>
        <v>76</v>
      </c>
      <c r="H226" t="s">
        <v>113</v>
      </c>
      <c r="I226" t="s">
        <v>114</v>
      </c>
      <c r="J226">
        <f t="shared" si="48"/>
        <v>5</v>
      </c>
      <c r="K226" t="s">
        <v>113</v>
      </c>
      <c r="L226" s="9">
        <f t="shared" si="46"/>
        <v>1.2689215852749058</v>
      </c>
      <c r="M226" s="9">
        <f t="shared" si="46"/>
        <v>0.63446079263745292</v>
      </c>
      <c r="N226" s="9">
        <f t="shared" si="46"/>
        <v>0.31723039631872646</v>
      </c>
      <c r="O226" s="9">
        <f t="shared" si="46"/>
        <v>0.21148693087915099</v>
      </c>
      <c r="P226" s="9">
        <f t="shared" si="46"/>
        <v>0.15861519815936323</v>
      </c>
    </row>
    <row r="227" spans="7:16">
      <c r="G227">
        <f t="shared" si="47"/>
        <v>89</v>
      </c>
      <c r="H227" t="s">
        <v>113</v>
      </c>
      <c r="I227" t="s">
        <v>114</v>
      </c>
      <c r="J227">
        <f t="shared" si="48"/>
        <v>5</v>
      </c>
      <c r="K227" t="s">
        <v>113</v>
      </c>
      <c r="L227" s="9">
        <f t="shared" si="46"/>
        <v>0.88566294271070189</v>
      </c>
      <c r="M227" s="9">
        <f t="shared" si="46"/>
        <v>0.44283147135535095</v>
      </c>
      <c r="N227" s="9">
        <f t="shared" si="46"/>
        <v>0.22141573567767547</v>
      </c>
      <c r="O227" s="9">
        <f t="shared" si="46"/>
        <v>0.14761049045178365</v>
      </c>
      <c r="P227" s="9">
        <f t="shared" si="46"/>
        <v>0.11070786783883774</v>
      </c>
    </row>
    <row r="228" spans="7:16">
      <c r="G228">
        <f t="shared" si="47"/>
        <v>102</v>
      </c>
      <c r="H228" t="s">
        <v>113</v>
      </c>
      <c r="I228" t="s">
        <v>114</v>
      </c>
      <c r="J228">
        <f t="shared" si="48"/>
        <v>5</v>
      </c>
      <c r="K228" t="s">
        <v>113</v>
      </c>
      <c r="L228" s="9">
        <f t="shared" si="46"/>
        <v>0.65305085366936333</v>
      </c>
      <c r="M228" s="9">
        <f t="shared" si="46"/>
        <v>0.32652542683468166</v>
      </c>
      <c r="N228" s="9">
        <f t="shared" si="46"/>
        <v>0.16326271341734083</v>
      </c>
      <c r="O228" s="9">
        <f t="shared" si="46"/>
        <v>0.10884180894489388</v>
      </c>
      <c r="P228" s="9">
        <f t="shared" si="46"/>
        <v>8.1631356708670416E-2</v>
      </c>
    </row>
    <row r="229" spans="7:16">
      <c r="G229">
        <f t="shared" si="47"/>
        <v>108</v>
      </c>
      <c r="H229" t="s">
        <v>113</v>
      </c>
      <c r="I229" t="s">
        <v>114</v>
      </c>
      <c r="J229">
        <f t="shared" si="48"/>
        <v>5</v>
      </c>
      <c r="K229" t="s">
        <v>113</v>
      </c>
      <c r="L229" s="9">
        <f t="shared" si="46"/>
        <v>0.57553336375025921</v>
      </c>
      <c r="M229" s="9">
        <f t="shared" si="46"/>
        <v>0.2877666818751296</v>
      </c>
      <c r="N229" s="9">
        <f t="shared" si="46"/>
        <v>0.1438833409375648</v>
      </c>
      <c r="O229" s="9">
        <f t="shared" si="46"/>
        <v>9.5922227291709877E-2</v>
      </c>
      <c r="P229" s="9">
        <f t="shared" si="46"/>
        <v>7.1941670468782401E-2</v>
      </c>
    </row>
    <row r="230" spans="7:16">
      <c r="G230">
        <f t="shared" si="47"/>
        <v>114</v>
      </c>
      <c r="H230" t="s">
        <v>113</v>
      </c>
      <c r="I230" t="s">
        <v>114</v>
      </c>
      <c r="J230">
        <f t="shared" si="48"/>
        <v>6</v>
      </c>
      <c r="K230" t="s">
        <v>113</v>
      </c>
      <c r="L230" s="9">
        <f t="shared" si="46"/>
        <v>0.53127858760644864</v>
      </c>
      <c r="M230" s="9">
        <f t="shared" si="46"/>
        <v>0.26563929380322432</v>
      </c>
      <c r="N230" s="9">
        <f t="shared" si="46"/>
        <v>0.13281964690161216</v>
      </c>
      <c r="O230" s="9">
        <f t="shared" si="46"/>
        <v>8.8546431267741435E-2</v>
      </c>
      <c r="P230" s="9">
        <f t="shared" si="46"/>
        <v>6.640982345080608E-2</v>
      </c>
    </row>
    <row r="231" spans="7:16">
      <c r="G231">
        <f t="shared" si="47"/>
        <v>127</v>
      </c>
      <c r="H231" t="s">
        <v>113</v>
      </c>
      <c r="I231" t="s">
        <v>114</v>
      </c>
      <c r="J231">
        <f t="shared" si="48"/>
        <v>6</v>
      </c>
      <c r="K231" t="s">
        <v>113</v>
      </c>
      <c r="L231" s="9">
        <f t="shared" si="46"/>
        <v>0.41795254634839246</v>
      </c>
      <c r="M231" s="9">
        <f t="shared" si="46"/>
        <v>0.20897627317419623</v>
      </c>
      <c r="N231" s="9">
        <f t="shared" si="46"/>
        <v>0.10448813658709812</v>
      </c>
      <c r="O231" s="9">
        <f t="shared" si="46"/>
        <v>6.9658757724732068E-2</v>
      </c>
      <c r="P231" s="9">
        <f t="shared" si="46"/>
        <v>5.2244068293549058E-2</v>
      </c>
    </row>
    <row r="232" spans="7:16">
      <c r="G232">
        <f t="shared" si="47"/>
        <v>152</v>
      </c>
      <c r="H232" t="s">
        <v>113</v>
      </c>
      <c r="I232" t="s">
        <v>114</v>
      </c>
      <c r="J232">
        <f t="shared" si="48"/>
        <v>6</v>
      </c>
      <c r="K232" t="s">
        <v>113</v>
      </c>
      <c r="L232" s="9">
        <f t="shared" si="46"/>
        <v>0.28201134823762702</v>
      </c>
      <c r="M232" s="9">
        <f t="shared" si="46"/>
        <v>0.14100567411881351</v>
      </c>
      <c r="N232" s="9">
        <f t="shared" si="46"/>
        <v>7.0502837059406756E-2</v>
      </c>
      <c r="O232" s="9">
        <f t="shared" si="46"/>
        <v>4.7001891372937837E-2</v>
      </c>
      <c r="P232" s="9">
        <f t="shared" si="46"/>
        <v>3.5251418529703378E-2</v>
      </c>
    </row>
    <row r="233" spans="7:16">
      <c r="G233">
        <f t="shared" si="47"/>
        <v>159</v>
      </c>
      <c r="H233" t="s">
        <v>113</v>
      </c>
      <c r="I233" t="s">
        <v>114</v>
      </c>
      <c r="J233">
        <f t="shared" si="48"/>
        <v>6</v>
      </c>
      <c r="K233" t="s">
        <v>113</v>
      </c>
      <c r="L233" s="9">
        <f t="shared" si="46"/>
        <v>0.25579260611122639</v>
      </c>
      <c r="M233" s="9">
        <f t="shared" si="46"/>
        <v>0.1278963030556132</v>
      </c>
      <c r="N233" s="9">
        <f t="shared" si="46"/>
        <v>6.3948151527806599E-2</v>
      </c>
      <c r="O233" s="9">
        <f t="shared" si="46"/>
        <v>4.2632101018537732E-2</v>
      </c>
      <c r="P233" s="9">
        <f t="shared" si="46"/>
        <v>3.1974075763903299E-2</v>
      </c>
    </row>
    <row r="234" spans="7:16">
      <c r="G234">
        <f t="shared" si="47"/>
        <v>168</v>
      </c>
      <c r="H234" t="s">
        <v>113</v>
      </c>
      <c r="I234" t="s">
        <v>114</v>
      </c>
      <c r="J234">
        <f t="shared" si="48"/>
        <v>6</v>
      </c>
      <c r="K234" t="s">
        <v>113</v>
      </c>
      <c r="L234" s="9">
        <f t="shared" ref="L234:P239" si="49">KPZ_Gm/KPZ_ro1_r2z/L16</f>
        <v>0.22712945535246096</v>
      </c>
      <c r="M234" s="9">
        <f t="shared" si="49"/>
        <v>0.11356472767623048</v>
      </c>
      <c r="N234" s="9">
        <f t="shared" si="49"/>
        <v>5.6782363838115239E-2</v>
      </c>
      <c r="O234" s="9">
        <f t="shared" si="49"/>
        <v>3.7854909225410162E-2</v>
      </c>
      <c r="P234" s="9">
        <f t="shared" si="49"/>
        <v>2.839118191905762E-2</v>
      </c>
    </row>
    <row r="235" spans="7:16">
      <c r="G235">
        <f t="shared" si="47"/>
        <v>219</v>
      </c>
      <c r="H235" t="s">
        <v>113</v>
      </c>
      <c r="I235" t="s">
        <v>114</v>
      </c>
      <c r="J235">
        <f t="shared" si="48"/>
        <v>7</v>
      </c>
      <c r="K235" t="s">
        <v>113</v>
      </c>
      <c r="L235" s="9">
        <f t="shared" si="49"/>
        <v>0.13152700595972616</v>
      </c>
      <c r="M235" s="9">
        <f t="shared" si="49"/>
        <v>6.5763502979863081E-2</v>
      </c>
      <c r="N235" s="9">
        <f t="shared" si="49"/>
        <v>3.2881751489931541E-2</v>
      </c>
      <c r="O235" s="9">
        <f t="shared" si="49"/>
        <v>2.192116765995436E-2</v>
      </c>
      <c r="P235" s="9">
        <f t="shared" si="49"/>
        <v>1.644087574496577E-2</v>
      </c>
    </row>
    <row r="236" spans="7:16">
      <c r="G236">
        <f t="shared" si="47"/>
        <v>273</v>
      </c>
      <c r="H236" t="s">
        <v>113</v>
      </c>
      <c r="I236" t="s">
        <v>114</v>
      </c>
      <c r="J236">
        <f t="shared" si="48"/>
        <v>8</v>
      </c>
      <c r="K236" t="s">
        <v>113</v>
      </c>
      <c r="L236" s="9">
        <f t="shared" si="49"/>
        <v>8.368669359804827E-2</v>
      </c>
      <c r="M236" s="9">
        <f t="shared" si="49"/>
        <v>4.1843346799024135E-2</v>
      </c>
      <c r="N236" s="9">
        <f t="shared" si="49"/>
        <v>2.0921673399512068E-2</v>
      </c>
      <c r="O236" s="9">
        <f t="shared" si="49"/>
        <v>1.394778226634138E-2</v>
      </c>
      <c r="P236" s="9">
        <f t="shared" si="49"/>
        <v>1.0460836699756034E-2</v>
      </c>
    </row>
    <row r="237" spans="7:16">
      <c r="G237">
        <f t="shared" si="47"/>
        <v>325</v>
      </c>
      <c r="H237" t="s">
        <v>113</v>
      </c>
      <c r="I237" t="s">
        <v>114</v>
      </c>
      <c r="J237">
        <f t="shared" si="48"/>
        <v>8</v>
      </c>
      <c r="K237" t="s">
        <v>113</v>
      </c>
      <c r="L237" s="9">
        <f t="shared" si="49"/>
        <v>5.7890286292115609E-2</v>
      </c>
      <c r="M237" s="9">
        <f t="shared" si="49"/>
        <v>2.8945143146057804E-2</v>
      </c>
      <c r="N237" s="9">
        <f t="shared" si="49"/>
        <v>1.4472571573028902E-2</v>
      </c>
      <c r="O237" s="9">
        <f t="shared" si="49"/>
        <v>9.6483810486859348E-3</v>
      </c>
      <c r="P237" s="9">
        <f t="shared" si="49"/>
        <v>7.2362857865144511E-3</v>
      </c>
    </row>
    <row r="238" spans="7:16">
      <c r="G238">
        <f t="shared" si="47"/>
        <v>377</v>
      </c>
      <c r="H238" t="s">
        <v>113</v>
      </c>
      <c r="I238" t="s">
        <v>114</v>
      </c>
      <c r="J238">
        <f t="shared" si="48"/>
        <v>8</v>
      </c>
      <c r="K238" t="s">
        <v>113</v>
      </c>
      <c r="L238" s="9">
        <f t="shared" si="49"/>
        <v>4.2413904324379734E-2</v>
      </c>
      <c r="M238" s="9">
        <f t="shared" si="49"/>
        <v>2.1206952162189867E-2</v>
      </c>
      <c r="N238" s="9">
        <f t="shared" si="49"/>
        <v>1.0603476081094933E-2</v>
      </c>
      <c r="O238" s="9">
        <f t="shared" si="49"/>
        <v>7.0689840540632881E-3</v>
      </c>
      <c r="P238" s="9">
        <f t="shared" si="49"/>
        <v>5.3017380405474667E-3</v>
      </c>
    </row>
    <row r="239" spans="7:16">
      <c r="G239">
        <f t="shared" si="47"/>
        <v>426</v>
      </c>
      <c r="H239" t="s">
        <v>113</v>
      </c>
      <c r="I239" t="s">
        <v>114</v>
      </c>
      <c r="J239">
        <f t="shared" si="48"/>
        <v>8</v>
      </c>
      <c r="K239" t="s">
        <v>113</v>
      </c>
      <c r="L239" s="9">
        <f t="shared" si="49"/>
        <v>3.2881751489931541E-2</v>
      </c>
      <c r="M239" s="9">
        <f t="shared" si="49"/>
        <v>1.644087574496577E-2</v>
      </c>
      <c r="N239" s="9">
        <f t="shared" si="49"/>
        <v>8.2204378724828851E-3</v>
      </c>
      <c r="O239" s="9">
        <f t="shared" si="49"/>
        <v>5.4802919149885901E-3</v>
      </c>
      <c r="P239" s="9">
        <f t="shared" si="49"/>
        <v>4.1102189362414426E-3</v>
      </c>
    </row>
    <row r="241" spans="7:16">
      <c r="G241" s="242" t="s">
        <v>949</v>
      </c>
      <c r="H241" s="242"/>
      <c r="I241" s="242"/>
      <c r="J241" s="242"/>
      <c r="K241" s="242"/>
      <c r="L241" s="242"/>
      <c r="M241" s="242"/>
      <c r="N241" s="242"/>
      <c r="O241" s="242"/>
      <c r="P241" s="242"/>
    </row>
    <row r="242" spans="7:16">
      <c r="G242" s="242" t="s">
        <v>111</v>
      </c>
      <c r="H242" s="242"/>
      <c r="I242" s="242"/>
      <c r="J242" s="242"/>
      <c r="K242" s="242"/>
      <c r="L242" s="242" t="s">
        <v>112</v>
      </c>
      <c r="M242" s="242"/>
      <c r="N242" s="242"/>
      <c r="O242" s="242"/>
      <c r="P242" s="242"/>
    </row>
    <row r="243" spans="7:16">
      <c r="G243" s="242"/>
      <c r="H243" s="242"/>
      <c r="I243" s="242"/>
      <c r="J243" s="242"/>
      <c r="K243" s="242"/>
      <c r="L243" s="190">
        <v>1</v>
      </c>
      <c r="M243" s="190">
        <v>2</v>
      </c>
      <c r="N243" s="190">
        <v>4</v>
      </c>
      <c r="O243" s="190">
        <v>6</v>
      </c>
      <c r="P243" s="190">
        <v>8</v>
      </c>
    </row>
    <row r="244" spans="7:16">
      <c r="G244">
        <f>G224</f>
        <v>45</v>
      </c>
      <c r="H244" t="s">
        <v>113</v>
      </c>
      <c r="I244" t="s">
        <v>114</v>
      </c>
      <c r="J244">
        <f>J224</f>
        <v>5</v>
      </c>
      <c r="K244" t="s">
        <v>113</v>
      </c>
      <c r="L244" s="9">
        <f t="shared" ref="L244:P253" si="50">KPZ_Gm/KPZ_ro2_r2z/L6</f>
        <v>298.87831268460133</v>
      </c>
      <c r="M244" s="9">
        <f t="shared" si="50"/>
        <v>149.43915634230066</v>
      </c>
      <c r="N244" s="9">
        <f t="shared" si="50"/>
        <v>74.719578171150332</v>
      </c>
      <c r="O244" s="9">
        <f t="shared" si="50"/>
        <v>49.813052114100216</v>
      </c>
      <c r="P244" s="9">
        <f t="shared" si="50"/>
        <v>37.359789085575166</v>
      </c>
    </row>
    <row r="245" spans="7:16">
      <c r="G245">
        <f t="shared" ref="G245:G259" si="51">G225</f>
        <v>57</v>
      </c>
      <c r="H245" t="s">
        <v>113</v>
      </c>
      <c r="I245" t="s">
        <v>114</v>
      </c>
      <c r="J245">
        <f t="shared" ref="J245:J259" si="52">J225</f>
        <v>5</v>
      </c>
      <c r="K245" t="s">
        <v>113</v>
      </c>
      <c r="L245" s="9">
        <f t="shared" si="50"/>
        <v>165.74283976398218</v>
      </c>
      <c r="M245" s="9">
        <f t="shared" si="50"/>
        <v>82.871419881991088</v>
      </c>
      <c r="N245" s="9">
        <f t="shared" si="50"/>
        <v>41.435709940995544</v>
      </c>
      <c r="O245" s="9">
        <f t="shared" si="50"/>
        <v>27.623806627330364</v>
      </c>
      <c r="P245" s="9">
        <f t="shared" si="50"/>
        <v>20.717854970497772</v>
      </c>
    </row>
    <row r="246" spans="7:16">
      <c r="G246">
        <f t="shared" si="51"/>
        <v>76</v>
      </c>
      <c r="H246" t="s">
        <v>113</v>
      </c>
      <c r="I246" t="s">
        <v>114</v>
      </c>
      <c r="J246">
        <f t="shared" si="52"/>
        <v>5</v>
      </c>
      <c r="K246" t="s">
        <v>113</v>
      </c>
      <c r="L246" s="9">
        <f t="shared" si="50"/>
        <v>84.050948815114012</v>
      </c>
      <c r="M246" s="9">
        <f t="shared" si="50"/>
        <v>42.025474407557006</v>
      </c>
      <c r="N246" s="9">
        <f t="shared" si="50"/>
        <v>21.012737203778503</v>
      </c>
      <c r="O246" s="9">
        <f t="shared" si="50"/>
        <v>14.008491469185669</v>
      </c>
      <c r="P246" s="9">
        <f t="shared" si="50"/>
        <v>10.506368601889251</v>
      </c>
    </row>
    <row r="247" spans="7:16">
      <c r="G247">
        <f t="shared" si="51"/>
        <v>89</v>
      </c>
      <c r="H247" t="s">
        <v>113</v>
      </c>
      <c r="I247" t="s">
        <v>114</v>
      </c>
      <c r="J247">
        <f t="shared" si="52"/>
        <v>5</v>
      </c>
      <c r="K247" t="s">
        <v>113</v>
      </c>
      <c r="L247" s="9">
        <f t="shared" si="50"/>
        <v>58.664626348123164</v>
      </c>
      <c r="M247" s="9">
        <f t="shared" si="50"/>
        <v>29.332313174061582</v>
      </c>
      <c r="N247" s="9">
        <f t="shared" si="50"/>
        <v>14.666156587030791</v>
      </c>
      <c r="O247" s="9">
        <f t="shared" si="50"/>
        <v>9.7774377246871946</v>
      </c>
      <c r="P247" s="9">
        <f t="shared" si="50"/>
        <v>7.3330782935153955</v>
      </c>
    </row>
    <row r="248" spans="7:16">
      <c r="G248">
        <f t="shared" si="51"/>
        <v>102</v>
      </c>
      <c r="H248" t="s">
        <v>113</v>
      </c>
      <c r="I248" t="s">
        <v>114</v>
      </c>
      <c r="J248">
        <f t="shared" si="52"/>
        <v>5</v>
      </c>
      <c r="K248" t="s">
        <v>113</v>
      </c>
      <c r="L248" s="9">
        <f t="shared" si="50"/>
        <v>43.256844640670685</v>
      </c>
      <c r="M248" s="9">
        <f t="shared" si="50"/>
        <v>21.628422320335343</v>
      </c>
      <c r="N248" s="9">
        <f t="shared" si="50"/>
        <v>10.814211160167671</v>
      </c>
      <c r="O248" s="9">
        <f t="shared" si="50"/>
        <v>7.2094741067784476</v>
      </c>
      <c r="P248" s="9">
        <f t="shared" si="50"/>
        <v>5.4071055800838357</v>
      </c>
    </row>
    <row r="249" spans="7:16">
      <c r="G249">
        <f t="shared" si="51"/>
        <v>108</v>
      </c>
      <c r="H249" t="s">
        <v>113</v>
      </c>
      <c r="I249" t="s">
        <v>114</v>
      </c>
      <c r="J249">
        <f t="shared" si="52"/>
        <v>5</v>
      </c>
      <c r="K249" t="s">
        <v>113</v>
      </c>
      <c r="L249" s="9">
        <f t="shared" si="50"/>
        <v>38.122233760790984</v>
      </c>
      <c r="M249" s="9">
        <f t="shared" si="50"/>
        <v>19.061116880395492</v>
      </c>
      <c r="N249" s="9">
        <f t="shared" si="50"/>
        <v>9.5305584401977459</v>
      </c>
      <c r="O249" s="9">
        <f t="shared" si="50"/>
        <v>6.3537056267984973</v>
      </c>
      <c r="P249" s="9">
        <f t="shared" si="50"/>
        <v>4.7652792200988729</v>
      </c>
    </row>
    <row r="250" spans="7:16">
      <c r="G250">
        <f t="shared" si="51"/>
        <v>114</v>
      </c>
      <c r="H250" t="s">
        <v>113</v>
      </c>
      <c r="I250" t="s">
        <v>114</v>
      </c>
      <c r="J250">
        <f t="shared" si="52"/>
        <v>6</v>
      </c>
      <c r="K250" t="s">
        <v>113</v>
      </c>
      <c r="L250" s="9">
        <f t="shared" si="50"/>
        <v>35.190881683836672</v>
      </c>
      <c r="M250" s="9">
        <f t="shared" si="50"/>
        <v>17.595440841918336</v>
      </c>
      <c r="N250" s="9">
        <f t="shared" si="50"/>
        <v>8.797720420959168</v>
      </c>
      <c r="O250" s="9">
        <f t="shared" si="50"/>
        <v>5.865146947306112</v>
      </c>
      <c r="P250" s="9">
        <f t="shared" si="50"/>
        <v>4.398860210479584</v>
      </c>
    </row>
    <row r="251" spans="7:16">
      <c r="G251">
        <f t="shared" si="51"/>
        <v>127</v>
      </c>
      <c r="H251" t="s">
        <v>113</v>
      </c>
      <c r="I251" t="s">
        <v>114</v>
      </c>
      <c r="J251">
        <f t="shared" si="52"/>
        <v>6</v>
      </c>
      <c r="K251" t="s">
        <v>113</v>
      </c>
      <c r="L251" s="9">
        <f t="shared" si="50"/>
        <v>27.684380570029234</v>
      </c>
      <c r="M251" s="9">
        <f t="shared" si="50"/>
        <v>13.842190285014617</v>
      </c>
      <c r="N251" s="9">
        <f t="shared" si="50"/>
        <v>6.9210951425073084</v>
      </c>
      <c r="O251" s="9">
        <f t="shared" si="50"/>
        <v>4.6140634283382056</v>
      </c>
      <c r="P251" s="9">
        <f t="shared" si="50"/>
        <v>3.4605475712536542</v>
      </c>
    </row>
    <row r="252" spans="7:16">
      <c r="G252">
        <f t="shared" si="51"/>
        <v>152</v>
      </c>
      <c r="H252" t="s">
        <v>113</v>
      </c>
      <c r="I252" t="s">
        <v>114</v>
      </c>
      <c r="J252">
        <f t="shared" si="52"/>
        <v>6</v>
      </c>
      <c r="K252" t="s">
        <v>113</v>
      </c>
      <c r="L252" s="9">
        <f t="shared" si="50"/>
        <v>18.679894542787583</v>
      </c>
      <c r="M252" s="9">
        <f t="shared" si="50"/>
        <v>9.3399472713937914</v>
      </c>
      <c r="N252" s="9">
        <f t="shared" si="50"/>
        <v>4.6699736356968957</v>
      </c>
      <c r="O252" s="9">
        <f t="shared" si="50"/>
        <v>3.1133157571312635</v>
      </c>
      <c r="P252" s="9">
        <f t="shared" si="50"/>
        <v>2.3349868178484479</v>
      </c>
    </row>
    <row r="253" spans="7:16">
      <c r="G253">
        <f t="shared" si="51"/>
        <v>159</v>
      </c>
      <c r="H253" t="s">
        <v>113</v>
      </c>
      <c r="I253" t="s">
        <v>114</v>
      </c>
      <c r="J253">
        <f t="shared" si="52"/>
        <v>6</v>
      </c>
      <c r="K253" t="s">
        <v>113</v>
      </c>
      <c r="L253" s="9">
        <f t="shared" si="50"/>
        <v>16.943215004795999</v>
      </c>
      <c r="M253" s="9">
        <f t="shared" si="50"/>
        <v>8.4716075023979993</v>
      </c>
      <c r="N253" s="9">
        <f t="shared" si="50"/>
        <v>4.2358037511989997</v>
      </c>
      <c r="O253" s="9">
        <f t="shared" si="50"/>
        <v>2.8238691674659995</v>
      </c>
      <c r="P253" s="9">
        <f t="shared" si="50"/>
        <v>2.1179018755994998</v>
      </c>
    </row>
    <row r="254" spans="7:16">
      <c r="G254">
        <f t="shared" si="51"/>
        <v>168</v>
      </c>
      <c r="H254" t="s">
        <v>113</v>
      </c>
      <c r="I254" t="s">
        <v>114</v>
      </c>
      <c r="J254">
        <f t="shared" si="52"/>
        <v>6</v>
      </c>
      <c r="K254" t="s">
        <v>113</v>
      </c>
      <c r="L254" s="9">
        <f t="shared" ref="L254:P259" si="53">KPZ_Gm/KPZ_ro2_r2z/L16</f>
        <v>15.044622495013011</v>
      </c>
      <c r="M254" s="9">
        <f t="shared" si="53"/>
        <v>7.5223112475065053</v>
      </c>
      <c r="N254" s="9">
        <f t="shared" si="53"/>
        <v>3.7611556237532526</v>
      </c>
      <c r="O254" s="9">
        <f t="shared" si="53"/>
        <v>2.5074370825021686</v>
      </c>
      <c r="P254" s="9">
        <f t="shared" si="53"/>
        <v>1.8805778118766263</v>
      </c>
    </row>
    <row r="255" spans="7:16">
      <c r="G255">
        <f t="shared" si="51"/>
        <v>219</v>
      </c>
      <c r="H255" t="s">
        <v>113</v>
      </c>
      <c r="I255" t="s">
        <v>114</v>
      </c>
      <c r="J255">
        <f t="shared" si="52"/>
        <v>7</v>
      </c>
      <c r="K255" t="s">
        <v>113</v>
      </c>
      <c r="L255" s="9">
        <f t="shared" si="53"/>
        <v>8.7120983471418612</v>
      </c>
      <c r="M255" s="9">
        <f t="shared" si="53"/>
        <v>4.3560491735709306</v>
      </c>
      <c r="N255" s="9">
        <f t="shared" si="53"/>
        <v>2.1780245867854653</v>
      </c>
      <c r="O255" s="9">
        <f t="shared" si="53"/>
        <v>1.4520163911903101</v>
      </c>
      <c r="P255" s="9">
        <f t="shared" si="53"/>
        <v>1.0890122933927326</v>
      </c>
    </row>
    <row r="256" spans="7:16">
      <c r="G256">
        <f t="shared" si="51"/>
        <v>273</v>
      </c>
      <c r="H256" t="s">
        <v>113</v>
      </c>
      <c r="I256" t="s">
        <v>114</v>
      </c>
      <c r="J256">
        <f t="shared" si="52"/>
        <v>8</v>
      </c>
      <c r="K256" t="s">
        <v>113</v>
      </c>
      <c r="L256" s="9">
        <f t="shared" si="53"/>
        <v>5.5432471807088168</v>
      </c>
      <c r="M256" s="9">
        <f t="shared" si="53"/>
        <v>2.7716235903544084</v>
      </c>
      <c r="N256" s="9">
        <f t="shared" si="53"/>
        <v>1.3858117951772042</v>
      </c>
      <c r="O256" s="9">
        <f t="shared" si="53"/>
        <v>0.92387453011813614</v>
      </c>
      <c r="P256" s="9">
        <f t="shared" si="53"/>
        <v>0.6929058975886021</v>
      </c>
    </row>
    <row r="257" spans="7:16">
      <c r="G257">
        <f t="shared" si="51"/>
        <v>325</v>
      </c>
      <c r="H257" t="s">
        <v>113</v>
      </c>
      <c r="I257" t="s">
        <v>114</v>
      </c>
      <c r="J257">
        <f t="shared" si="52"/>
        <v>8</v>
      </c>
      <c r="K257" t="s">
        <v>113</v>
      </c>
      <c r="L257" s="9">
        <f t="shared" si="53"/>
        <v>3.8345422967777529</v>
      </c>
      <c r="M257" s="9">
        <f t="shared" si="53"/>
        <v>1.9172711483888765</v>
      </c>
      <c r="N257" s="9">
        <f t="shared" si="53"/>
        <v>0.95863557419443823</v>
      </c>
      <c r="O257" s="9">
        <f t="shared" si="53"/>
        <v>0.63909038279629216</v>
      </c>
      <c r="P257" s="9">
        <f t="shared" si="53"/>
        <v>0.47931778709721912</v>
      </c>
    </row>
    <row r="258" spans="7:16">
      <c r="G258">
        <f t="shared" si="51"/>
        <v>377</v>
      </c>
      <c r="H258" t="s">
        <v>113</v>
      </c>
      <c r="I258" t="s">
        <v>114</v>
      </c>
      <c r="J258">
        <f t="shared" si="52"/>
        <v>8</v>
      </c>
      <c r="K258" t="s">
        <v>113</v>
      </c>
      <c r="L258" s="9">
        <f t="shared" si="53"/>
        <v>2.809416234057724</v>
      </c>
      <c r="M258" s="9">
        <f t="shared" si="53"/>
        <v>1.404708117028862</v>
      </c>
      <c r="N258" s="9">
        <f t="shared" si="53"/>
        <v>0.702354058514431</v>
      </c>
      <c r="O258" s="9">
        <f t="shared" si="53"/>
        <v>0.46823603900962063</v>
      </c>
      <c r="P258" s="9">
        <f t="shared" si="53"/>
        <v>0.3511770292572155</v>
      </c>
    </row>
    <row r="259" spans="7:16">
      <c r="G259">
        <f t="shared" si="51"/>
        <v>426</v>
      </c>
      <c r="H259" t="s">
        <v>113</v>
      </c>
      <c r="I259" t="s">
        <v>114</v>
      </c>
      <c r="J259">
        <f t="shared" si="52"/>
        <v>8</v>
      </c>
      <c r="K259" t="s">
        <v>113</v>
      </c>
      <c r="L259" s="9">
        <f t="shared" si="53"/>
        <v>2.1780245867854653</v>
      </c>
      <c r="M259" s="9">
        <f t="shared" si="53"/>
        <v>1.0890122933927326</v>
      </c>
      <c r="N259" s="9">
        <f t="shared" si="53"/>
        <v>0.54450614669636632</v>
      </c>
      <c r="O259" s="9">
        <f t="shared" si="53"/>
        <v>0.36300409779757753</v>
      </c>
      <c r="P259" s="9">
        <f t="shared" si="53"/>
        <v>0.27225307334818316</v>
      </c>
    </row>
    <row r="260" spans="7:16">
      <c r="L260" s="9"/>
      <c r="M260" s="9"/>
      <c r="N260" s="9"/>
      <c r="O260" s="9"/>
      <c r="P260" s="9"/>
    </row>
    <row r="261" spans="7:16">
      <c r="G261" s="242" t="s">
        <v>965</v>
      </c>
      <c r="H261" s="242"/>
      <c r="I261" s="242"/>
      <c r="J261" s="242"/>
      <c r="K261" s="242"/>
      <c r="L261" s="242"/>
      <c r="M261" s="242"/>
      <c r="N261" s="242"/>
      <c r="O261" s="242"/>
      <c r="P261" s="242"/>
    </row>
    <row r="262" spans="7:16">
      <c r="G262" s="242" t="s">
        <v>111</v>
      </c>
      <c r="H262" s="242"/>
      <c r="I262" s="242"/>
      <c r="J262" s="242"/>
      <c r="K262" s="242"/>
      <c r="L262" s="242" t="s">
        <v>112</v>
      </c>
      <c r="M262" s="242"/>
      <c r="N262" s="242"/>
      <c r="O262" s="242"/>
      <c r="P262" s="242"/>
    </row>
    <row r="263" spans="7:16">
      <c r="G263" s="242"/>
      <c r="H263" s="242"/>
      <c r="I263" s="242"/>
      <c r="J263" s="242"/>
      <c r="K263" s="242"/>
      <c r="L263" s="192">
        <v>1</v>
      </c>
      <c r="M263" s="192">
        <v>2</v>
      </c>
      <c r="N263" s="190">
        <v>4</v>
      </c>
      <c r="O263" s="190">
        <v>6</v>
      </c>
      <c r="P263" s="190">
        <v>8</v>
      </c>
    </row>
    <row r="264" spans="7:16">
      <c r="G264">
        <f>G244</f>
        <v>45</v>
      </c>
      <c r="H264" t="s">
        <v>113</v>
      </c>
      <c r="I264" t="s">
        <v>114</v>
      </c>
      <c r="J264">
        <f>J244</f>
        <v>5</v>
      </c>
      <c r="K264" t="s">
        <v>113</v>
      </c>
      <c r="L264" s="9">
        <f>L224+L244</f>
        <v>303.39049425640337</v>
      </c>
      <c r="M264" s="9">
        <f t="shared" ref="M264:P264" si="54">M224+M244</f>
        <v>151.69524712820169</v>
      </c>
      <c r="N264" s="9">
        <f t="shared" si="54"/>
        <v>75.847623564100843</v>
      </c>
      <c r="O264" s="9">
        <f t="shared" si="54"/>
        <v>50.565082376067224</v>
      </c>
      <c r="P264" s="9">
        <f t="shared" si="54"/>
        <v>37.923811782050421</v>
      </c>
    </row>
    <row r="265" spans="7:16">
      <c r="G265">
        <f t="shared" ref="G265:G279" si="55">G245</f>
        <v>57</v>
      </c>
      <c r="H265" t="s">
        <v>113</v>
      </c>
      <c r="I265" t="s">
        <v>114</v>
      </c>
      <c r="J265">
        <f t="shared" ref="J265:J279" si="56">J245</f>
        <v>5</v>
      </c>
      <c r="K265" t="s">
        <v>113</v>
      </c>
      <c r="L265" s="9">
        <f t="shared" ref="L265:P265" si="57">L225+L245</f>
        <v>168.24506811412138</v>
      </c>
      <c r="M265" s="9">
        <f t="shared" si="57"/>
        <v>84.12253405706069</v>
      </c>
      <c r="N265" s="9">
        <f t="shared" si="57"/>
        <v>42.061267028530345</v>
      </c>
      <c r="O265" s="9">
        <f t="shared" si="57"/>
        <v>28.040844685686896</v>
      </c>
      <c r="P265" s="9">
        <f t="shared" si="57"/>
        <v>21.030633514265173</v>
      </c>
    </row>
    <row r="266" spans="7:16">
      <c r="G266">
        <f t="shared" si="55"/>
        <v>76</v>
      </c>
      <c r="H266" t="s">
        <v>113</v>
      </c>
      <c r="I266" t="s">
        <v>114</v>
      </c>
      <c r="J266">
        <f t="shared" si="56"/>
        <v>5</v>
      </c>
      <c r="K266" t="s">
        <v>113</v>
      </c>
      <c r="L266" s="9">
        <f t="shared" ref="L266:P266" si="58">L226+L246</f>
        <v>85.319870400388922</v>
      </c>
      <c r="M266" s="9">
        <f t="shared" si="58"/>
        <v>42.659935200194461</v>
      </c>
      <c r="N266" s="9">
        <f t="shared" si="58"/>
        <v>21.32996760009723</v>
      </c>
      <c r="O266" s="9">
        <f t="shared" si="58"/>
        <v>14.21997840006482</v>
      </c>
      <c r="P266" s="9">
        <f t="shared" si="58"/>
        <v>10.664983800048615</v>
      </c>
    </row>
    <row r="267" spans="7:16">
      <c r="G267">
        <f t="shared" si="55"/>
        <v>89</v>
      </c>
      <c r="H267" t="s">
        <v>113</v>
      </c>
      <c r="I267" t="s">
        <v>114</v>
      </c>
      <c r="J267">
        <f t="shared" si="56"/>
        <v>5</v>
      </c>
      <c r="K267" t="s">
        <v>113</v>
      </c>
      <c r="L267" s="9">
        <f t="shared" ref="L267:P267" si="59">L227+L247</f>
        <v>59.550289290833867</v>
      </c>
      <c r="M267" s="9">
        <f t="shared" si="59"/>
        <v>29.775144645416933</v>
      </c>
      <c r="N267" s="9">
        <f t="shared" si="59"/>
        <v>14.887572322708467</v>
      </c>
      <c r="O267" s="9">
        <f t="shared" si="59"/>
        <v>9.9250482151389789</v>
      </c>
      <c r="P267" s="9">
        <f t="shared" si="59"/>
        <v>7.4437861613542333</v>
      </c>
    </row>
    <row r="268" spans="7:16">
      <c r="G268">
        <f t="shared" si="55"/>
        <v>102</v>
      </c>
      <c r="H268" t="s">
        <v>113</v>
      </c>
      <c r="I268" t="s">
        <v>114</v>
      </c>
      <c r="J268">
        <f t="shared" si="56"/>
        <v>5</v>
      </c>
      <c r="K268" t="s">
        <v>113</v>
      </c>
      <c r="L268" s="9">
        <f t="shared" ref="L268:P268" si="60">L228+L248</f>
        <v>43.909895494340049</v>
      </c>
      <c r="M268" s="9">
        <f t="shared" si="60"/>
        <v>21.954947747170024</v>
      </c>
      <c r="N268" s="9">
        <f t="shared" si="60"/>
        <v>10.977473873585012</v>
      </c>
      <c r="O268" s="9">
        <f t="shared" si="60"/>
        <v>7.3183159157233417</v>
      </c>
      <c r="P268" s="9">
        <f t="shared" si="60"/>
        <v>5.4887369367925061</v>
      </c>
    </row>
    <row r="269" spans="7:16">
      <c r="G269">
        <f t="shared" si="55"/>
        <v>108</v>
      </c>
      <c r="H269" t="s">
        <v>113</v>
      </c>
      <c r="I269" t="s">
        <v>114</v>
      </c>
      <c r="J269">
        <f t="shared" si="56"/>
        <v>5</v>
      </c>
      <c r="K269" t="s">
        <v>113</v>
      </c>
      <c r="L269" s="9">
        <f t="shared" ref="L269:P269" si="61">L229+L249</f>
        <v>38.697767124541244</v>
      </c>
      <c r="M269" s="9">
        <f t="shared" si="61"/>
        <v>19.348883562270622</v>
      </c>
      <c r="N269" s="9">
        <f t="shared" si="61"/>
        <v>9.6744417811353109</v>
      </c>
      <c r="O269" s="9">
        <f t="shared" si="61"/>
        <v>6.449627854090207</v>
      </c>
      <c r="P269" s="9">
        <f t="shared" si="61"/>
        <v>4.8372208905676555</v>
      </c>
    </row>
    <row r="270" spans="7:16">
      <c r="G270">
        <f t="shared" si="55"/>
        <v>114</v>
      </c>
      <c r="H270" t="s">
        <v>113</v>
      </c>
      <c r="I270" t="s">
        <v>114</v>
      </c>
      <c r="J270">
        <f t="shared" si="56"/>
        <v>6</v>
      </c>
      <c r="K270" t="s">
        <v>113</v>
      </c>
      <c r="L270" s="9">
        <f t="shared" ref="L270:P270" si="62">L230+L250</f>
        <v>35.722160271443123</v>
      </c>
      <c r="M270" s="9">
        <f t="shared" si="62"/>
        <v>17.861080135721561</v>
      </c>
      <c r="N270" s="9">
        <f t="shared" si="62"/>
        <v>8.9305400678607807</v>
      </c>
      <c r="O270" s="9">
        <f t="shared" si="62"/>
        <v>5.9536933785738535</v>
      </c>
      <c r="P270" s="9">
        <f t="shared" si="62"/>
        <v>4.4652700339303903</v>
      </c>
    </row>
    <row r="271" spans="7:16">
      <c r="G271">
        <f t="shared" si="55"/>
        <v>127</v>
      </c>
      <c r="H271" t="s">
        <v>113</v>
      </c>
      <c r="I271" t="s">
        <v>114</v>
      </c>
      <c r="J271">
        <f t="shared" si="56"/>
        <v>6</v>
      </c>
      <c r="K271" t="s">
        <v>113</v>
      </c>
      <c r="L271" s="9">
        <f t="shared" ref="L271:P271" si="63">L231+L251</f>
        <v>28.102333116377626</v>
      </c>
      <c r="M271" s="9">
        <f t="shared" si="63"/>
        <v>14.051166558188813</v>
      </c>
      <c r="N271" s="9">
        <f t="shared" si="63"/>
        <v>7.0255832790944064</v>
      </c>
      <c r="O271" s="9">
        <f t="shared" si="63"/>
        <v>4.6837221860629379</v>
      </c>
      <c r="P271" s="9">
        <f t="shared" si="63"/>
        <v>3.5127916395472032</v>
      </c>
    </row>
    <row r="272" spans="7:16">
      <c r="G272">
        <f t="shared" si="55"/>
        <v>152</v>
      </c>
      <c r="H272" t="s">
        <v>113</v>
      </c>
      <c r="I272" t="s">
        <v>114</v>
      </c>
      <c r="J272">
        <f t="shared" si="56"/>
        <v>6</v>
      </c>
      <c r="K272" t="s">
        <v>113</v>
      </c>
      <c r="L272" s="9">
        <f t="shared" ref="L272:P272" si="64">L232+L252</f>
        <v>18.961905891025211</v>
      </c>
      <c r="M272" s="9">
        <f t="shared" si="64"/>
        <v>9.4809529455126054</v>
      </c>
      <c r="N272" s="9">
        <f t="shared" si="64"/>
        <v>4.7404764727563027</v>
      </c>
      <c r="O272" s="9">
        <f t="shared" si="64"/>
        <v>3.1603176485042015</v>
      </c>
      <c r="P272" s="9">
        <f t="shared" si="64"/>
        <v>2.3702382363781513</v>
      </c>
    </row>
    <row r="273" spans="7:16">
      <c r="G273">
        <f t="shared" si="55"/>
        <v>159</v>
      </c>
      <c r="H273" t="s">
        <v>113</v>
      </c>
      <c r="I273" t="s">
        <v>114</v>
      </c>
      <c r="J273">
        <f t="shared" si="56"/>
        <v>6</v>
      </c>
      <c r="K273" t="s">
        <v>113</v>
      </c>
      <c r="L273" s="9">
        <f t="shared" ref="L273:P273" si="65">L233+L253</f>
        <v>17.199007610907223</v>
      </c>
      <c r="M273" s="9">
        <f t="shared" si="65"/>
        <v>8.5995038054536117</v>
      </c>
      <c r="N273" s="9">
        <f t="shared" si="65"/>
        <v>4.2997519027268059</v>
      </c>
      <c r="O273" s="9">
        <f t="shared" si="65"/>
        <v>2.8665012684845372</v>
      </c>
      <c r="P273" s="9">
        <f t="shared" si="65"/>
        <v>2.1498759513634029</v>
      </c>
    </row>
    <row r="274" spans="7:16">
      <c r="G274">
        <f t="shared" si="55"/>
        <v>168</v>
      </c>
      <c r="H274" t="s">
        <v>113</v>
      </c>
      <c r="I274" t="s">
        <v>114</v>
      </c>
      <c r="J274">
        <f t="shared" si="56"/>
        <v>6</v>
      </c>
      <c r="K274" t="s">
        <v>113</v>
      </c>
      <c r="L274" s="9">
        <f t="shared" ref="L274:P274" si="66">L234+L254</f>
        <v>15.271751950365472</v>
      </c>
      <c r="M274" s="9">
        <f t="shared" si="66"/>
        <v>7.6358759751827359</v>
      </c>
      <c r="N274" s="9">
        <f t="shared" si="66"/>
        <v>3.8179379875913679</v>
      </c>
      <c r="O274" s="9">
        <f t="shared" si="66"/>
        <v>2.5452919917275789</v>
      </c>
      <c r="P274" s="9">
        <f t="shared" si="66"/>
        <v>1.908968993795684</v>
      </c>
    </row>
    <row r="275" spans="7:16">
      <c r="G275">
        <f t="shared" si="55"/>
        <v>219</v>
      </c>
      <c r="H275" t="s">
        <v>113</v>
      </c>
      <c r="I275" t="s">
        <v>114</v>
      </c>
      <c r="J275">
        <f t="shared" si="56"/>
        <v>7</v>
      </c>
      <c r="K275" t="s">
        <v>113</v>
      </c>
      <c r="L275" s="9">
        <f t="shared" ref="L275:P275" si="67">L235+L255</f>
        <v>8.8436253531015865</v>
      </c>
      <c r="M275" s="9">
        <f t="shared" si="67"/>
        <v>4.4218126765507932</v>
      </c>
      <c r="N275" s="9">
        <f t="shared" si="67"/>
        <v>2.2109063382753966</v>
      </c>
      <c r="O275" s="9">
        <f t="shared" si="67"/>
        <v>1.4739375588502646</v>
      </c>
      <c r="P275" s="9">
        <f t="shared" si="67"/>
        <v>1.1054531691376983</v>
      </c>
    </row>
    <row r="276" spans="7:16">
      <c r="G276">
        <f t="shared" si="55"/>
        <v>273</v>
      </c>
      <c r="H276" t="s">
        <v>113</v>
      </c>
      <c r="I276" t="s">
        <v>114</v>
      </c>
      <c r="J276">
        <f t="shared" si="56"/>
        <v>8</v>
      </c>
      <c r="K276" t="s">
        <v>113</v>
      </c>
      <c r="L276" s="9">
        <f t="shared" ref="L276:P276" si="68">L236+L256</f>
        <v>5.6269338743068653</v>
      </c>
      <c r="M276" s="9">
        <f t="shared" si="68"/>
        <v>2.8134669371534327</v>
      </c>
      <c r="N276" s="9">
        <f t="shared" si="68"/>
        <v>1.4067334685767163</v>
      </c>
      <c r="O276" s="9">
        <f t="shared" si="68"/>
        <v>0.93782231238447755</v>
      </c>
      <c r="P276" s="9">
        <f t="shared" si="68"/>
        <v>0.70336673428835816</v>
      </c>
    </row>
    <row r="277" spans="7:16">
      <c r="G277">
        <f t="shared" si="55"/>
        <v>325</v>
      </c>
      <c r="H277" t="s">
        <v>113</v>
      </c>
      <c r="I277" t="s">
        <v>114</v>
      </c>
      <c r="J277">
        <f t="shared" si="56"/>
        <v>8</v>
      </c>
      <c r="K277" t="s">
        <v>113</v>
      </c>
      <c r="L277" s="9">
        <f t="shared" ref="L277:P277" si="69">L237+L257</f>
        <v>3.8924325830698687</v>
      </c>
      <c r="M277" s="9">
        <f t="shared" si="69"/>
        <v>1.9462162915349344</v>
      </c>
      <c r="N277" s="9">
        <f t="shared" si="69"/>
        <v>0.97310814576746718</v>
      </c>
      <c r="O277" s="9">
        <f t="shared" si="69"/>
        <v>0.64873876384497808</v>
      </c>
      <c r="P277" s="9">
        <f t="shared" si="69"/>
        <v>0.48655407288373359</v>
      </c>
    </row>
    <row r="278" spans="7:16">
      <c r="G278">
        <f t="shared" si="55"/>
        <v>377</v>
      </c>
      <c r="H278" t="s">
        <v>113</v>
      </c>
      <c r="I278" t="s">
        <v>114</v>
      </c>
      <c r="J278">
        <f t="shared" si="56"/>
        <v>8</v>
      </c>
      <c r="K278" t="s">
        <v>113</v>
      </c>
      <c r="L278" s="9">
        <f t="shared" ref="L278:P278" si="70">L238+L258</f>
        <v>2.8518301383821036</v>
      </c>
      <c r="M278" s="9">
        <f t="shared" si="70"/>
        <v>1.4259150691910518</v>
      </c>
      <c r="N278" s="9">
        <f t="shared" si="70"/>
        <v>0.71295753459552591</v>
      </c>
      <c r="O278" s="9">
        <f t="shared" si="70"/>
        <v>0.47530502306368394</v>
      </c>
      <c r="P278" s="9">
        <f t="shared" si="70"/>
        <v>0.35647876729776296</v>
      </c>
    </row>
    <row r="279" spans="7:16">
      <c r="G279">
        <f t="shared" si="55"/>
        <v>426</v>
      </c>
      <c r="H279" t="s">
        <v>113</v>
      </c>
      <c r="I279" t="s">
        <v>114</v>
      </c>
      <c r="J279">
        <f t="shared" si="56"/>
        <v>8</v>
      </c>
      <c r="K279" t="s">
        <v>113</v>
      </c>
      <c r="L279" s="9">
        <f t="shared" ref="L279:P279" si="71">L239+L259</f>
        <v>2.2109063382753966</v>
      </c>
      <c r="M279" s="9">
        <f t="shared" si="71"/>
        <v>1.1054531691376983</v>
      </c>
      <c r="N279" s="9">
        <f t="shared" si="71"/>
        <v>0.55272658456884916</v>
      </c>
      <c r="O279" s="9">
        <f t="shared" si="71"/>
        <v>0.36848438971256614</v>
      </c>
      <c r="P279" s="9">
        <f t="shared" si="71"/>
        <v>0.27636329228442458</v>
      </c>
    </row>
  </sheetData>
  <mergeCells count="37">
    <mergeCell ref="G261:P261"/>
    <mergeCell ref="G262:K263"/>
    <mergeCell ref="L262:P262"/>
    <mergeCell ref="G221:P221"/>
    <mergeCell ref="G222:K223"/>
    <mergeCell ref="L222:P222"/>
    <mergeCell ref="G241:P241"/>
    <mergeCell ref="G242:K243"/>
    <mergeCell ref="L242:P242"/>
    <mergeCell ref="G178:P178"/>
    <mergeCell ref="G179:K180"/>
    <mergeCell ref="L179:P179"/>
    <mergeCell ref="L199:P199"/>
    <mergeCell ref="G200:K201"/>
    <mergeCell ref="L200:P200"/>
    <mergeCell ref="G138:P138"/>
    <mergeCell ref="G139:K140"/>
    <mergeCell ref="L139:P139"/>
    <mergeCell ref="G158:P158"/>
    <mergeCell ref="G159:K160"/>
    <mergeCell ref="L159:P159"/>
    <mergeCell ref="G1:P1"/>
    <mergeCell ref="L54:P54"/>
    <mergeCell ref="G116:P116"/>
    <mergeCell ref="G117:K118"/>
    <mergeCell ref="L117:P117"/>
    <mergeCell ref="G76:P76"/>
    <mergeCell ref="G77:K78"/>
    <mergeCell ref="L77:P77"/>
    <mergeCell ref="G96:P96"/>
    <mergeCell ref="G97:K98"/>
    <mergeCell ref="L97:P97"/>
    <mergeCell ref="G55:K56"/>
    <mergeCell ref="L55:P55"/>
    <mergeCell ref="G3:P3"/>
    <mergeCell ref="G4:K5"/>
    <mergeCell ref="L4:P4"/>
  </mergeCells>
  <conditionalFormatting sqref="L57:P72">
    <cfRule type="cellIs" dxfId="51" priority="26" operator="between">
      <formula>$C$56</formula>
      <formula>$C$57</formula>
    </cfRule>
  </conditionalFormatting>
  <conditionalFormatting sqref="L79:P94">
    <cfRule type="cellIs" dxfId="50" priority="31" operator="between">
      <formula>$C$62</formula>
      <formula>$C$63</formula>
    </cfRule>
  </conditionalFormatting>
  <conditionalFormatting sqref="L202:P217">
    <cfRule type="cellIs" dxfId="49" priority="33" operator="between">
      <formula>$C$201</formula>
      <formula>$C$202</formula>
    </cfRule>
  </conditionalFormatting>
  <conditionalFormatting sqref="L224:P239">
    <cfRule type="cellIs" dxfId="48" priority="46" operator="between">
      <formula>$C$207</formula>
      <formula>$C$208</formula>
    </cfRule>
  </conditionalFormatting>
  <conditionalFormatting sqref="L99:P114">
    <cfRule type="cellIs" dxfId="47" priority="7" operator="between">
      <formula>$C$65</formula>
      <formula>$C$66</formula>
    </cfRule>
  </conditionalFormatting>
  <conditionalFormatting sqref="L119:P134">
    <cfRule type="cellIs" dxfId="46" priority="6" operator="between">
      <formula>$C$59</formula>
      <formula>$C$60</formula>
    </cfRule>
  </conditionalFormatting>
  <conditionalFormatting sqref="L141:P156">
    <cfRule type="cellIs" dxfId="45" priority="5" operator="between">
      <formula>$C$62</formula>
      <formula>$C$63</formula>
    </cfRule>
  </conditionalFormatting>
  <conditionalFormatting sqref="L161:P176">
    <cfRule type="cellIs" dxfId="44" priority="4" operator="between">
      <formula>$C$65</formula>
      <formula>$C$66</formula>
    </cfRule>
  </conditionalFormatting>
  <conditionalFormatting sqref="L181:P196">
    <cfRule type="cellIs" dxfId="43" priority="3" operator="between">
      <formula>$C$59</formula>
      <formula>$C$60</formula>
    </cfRule>
  </conditionalFormatting>
  <conditionalFormatting sqref="L244:P259">
    <cfRule type="cellIs" dxfId="42" priority="2" operator="between">
      <formula>$C$210</formula>
      <formula>$C$211</formula>
    </cfRule>
  </conditionalFormatting>
  <conditionalFormatting sqref="L264:P279">
    <cfRule type="cellIs" dxfId="41" priority="1" operator="between">
      <formula>$C$204</formula>
      <formula>$C$205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>
    <pageSetUpPr fitToPage="1"/>
  </sheetPr>
  <dimension ref="A1:O297"/>
  <sheetViews>
    <sheetView zoomScaleNormal="100" workbookViewId="0">
      <selection activeCell="C278" sqref="C278"/>
    </sheetView>
  </sheetViews>
  <sheetFormatPr defaultRowHeight="15"/>
  <cols>
    <col min="1" max="1" width="52.42578125" bestFit="1" customWidth="1"/>
    <col min="2" max="2" width="12.85546875" bestFit="1" customWidth="1"/>
    <col min="3" max="3" width="9.7109375" style="9" bestFit="1" customWidth="1"/>
    <col min="4" max="6" width="6.5703125" style="9" bestFit="1" customWidth="1"/>
    <col min="7" max="7" width="7.5703125" style="9" bestFit="1" customWidth="1"/>
    <col min="8" max="11" width="6.5703125" style="9" bestFit="1" customWidth="1"/>
  </cols>
  <sheetData>
    <row r="1" spans="1:15">
      <c r="A1" s="17" t="s">
        <v>119</v>
      </c>
      <c r="B1" s="16" t="s">
        <v>118</v>
      </c>
      <c r="C1" s="206" t="s">
        <v>120</v>
      </c>
    </row>
    <row r="2" spans="1:15">
      <c r="A2" s="17"/>
      <c r="B2" s="16"/>
      <c r="C2" s="206"/>
    </row>
    <row r="3" spans="1:15">
      <c r="A3" s="79" t="s">
        <v>1055</v>
      </c>
      <c r="B3" s="82" t="s">
        <v>213</v>
      </c>
      <c r="C3" s="103">
        <v>5</v>
      </c>
      <c r="D3" s="105">
        <f>'Комплексный подбор змеевика'!C5</f>
        <v>1.1316666666666664</v>
      </c>
    </row>
    <row r="4" spans="1:15">
      <c r="A4" s="18" t="s">
        <v>1079</v>
      </c>
      <c r="B4" s="222"/>
      <c r="C4" s="103">
        <v>1.2</v>
      </c>
    </row>
    <row r="5" spans="1:15">
      <c r="A5" s="43" t="s">
        <v>1056</v>
      </c>
      <c r="B5" s="6" t="s">
        <v>213</v>
      </c>
      <c r="C5" s="141">
        <f>C3*C4</f>
        <v>6</v>
      </c>
      <c r="D5" s="177"/>
    </row>
    <row r="6" spans="1:15" ht="30">
      <c r="A6" s="238" t="s">
        <v>1076</v>
      </c>
      <c r="B6" s="66" t="s">
        <v>132</v>
      </c>
      <c r="C6" s="239">
        <v>32</v>
      </c>
      <c r="D6" s="177"/>
      <c r="E6" s="177"/>
      <c r="F6" s="177"/>
      <c r="G6" s="177"/>
      <c r="H6" s="177"/>
      <c r="I6" s="177"/>
      <c r="J6" s="177"/>
      <c r="K6" s="177"/>
      <c r="L6" s="66"/>
      <c r="M6" s="66"/>
      <c r="N6" s="66"/>
      <c r="O6" s="66"/>
    </row>
    <row r="7" spans="1:15">
      <c r="A7" s="7" t="s">
        <v>968</v>
      </c>
      <c r="C7" s="101">
        <v>2</v>
      </c>
    </row>
    <row r="8" spans="1:15">
      <c r="A8" s="7" t="s">
        <v>969</v>
      </c>
      <c r="C8" s="101">
        <v>2</v>
      </c>
    </row>
    <row r="11" spans="1:15">
      <c r="A11" s="17" t="s">
        <v>966</v>
      </c>
      <c r="C11" s="244" t="s">
        <v>981</v>
      </c>
      <c r="D11" s="244"/>
      <c r="E11" s="244"/>
      <c r="F11" s="244"/>
      <c r="G11" s="244"/>
      <c r="H11" s="244"/>
      <c r="I11" s="244"/>
      <c r="J11" s="244"/>
      <c r="K11" s="244"/>
    </row>
    <row r="13" spans="1:15">
      <c r="A13" s="6" t="s">
        <v>970</v>
      </c>
      <c r="B13" t="s">
        <v>213</v>
      </c>
      <c r="C13" s="207">
        <v>0.5</v>
      </c>
      <c r="D13" s="207">
        <v>1</v>
      </c>
      <c r="E13" s="207">
        <v>1.5</v>
      </c>
      <c r="F13" s="207">
        <v>2</v>
      </c>
      <c r="G13" s="207">
        <v>3</v>
      </c>
      <c r="H13" s="207">
        <v>3.5</v>
      </c>
      <c r="I13" s="207">
        <v>4</v>
      </c>
      <c r="J13" s="207">
        <v>5</v>
      </c>
      <c r="K13" s="207">
        <v>6</v>
      </c>
    </row>
    <row r="14" spans="1:15">
      <c r="A14" t="s">
        <v>971</v>
      </c>
      <c r="B14" t="s">
        <v>152</v>
      </c>
      <c r="C14" s="105">
        <v>0.5</v>
      </c>
      <c r="D14" s="105">
        <v>0.5</v>
      </c>
      <c r="E14" s="105">
        <v>0.5</v>
      </c>
      <c r="F14" s="105">
        <v>0.65</v>
      </c>
      <c r="G14" s="105">
        <v>0.8</v>
      </c>
      <c r="H14" s="105">
        <v>0.8</v>
      </c>
      <c r="I14" s="105">
        <v>0.8</v>
      </c>
      <c r="J14" s="105">
        <v>0.9</v>
      </c>
      <c r="K14" s="105">
        <v>0.9</v>
      </c>
    </row>
    <row r="15" spans="1:15" ht="30">
      <c r="A15" s="7" t="s">
        <v>986</v>
      </c>
      <c r="B15" t="s">
        <v>152</v>
      </c>
      <c r="C15" s="115">
        <v>0.2</v>
      </c>
      <c r="D15" s="115">
        <v>0.2</v>
      </c>
      <c r="E15" s="115">
        <v>0.2</v>
      </c>
      <c r="F15" s="115">
        <v>0.2</v>
      </c>
      <c r="G15" s="115">
        <v>0.2</v>
      </c>
      <c r="H15" s="115">
        <v>0.2</v>
      </c>
      <c r="I15" s="115">
        <v>0.2</v>
      </c>
      <c r="J15" s="115">
        <v>0.2</v>
      </c>
      <c r="K15" s="115">
        <v>0.2</v>
      </c>
    </row>
    <row r="16" spans="1:15" ht="30">
      <c r="A16" s="7" t="s">
        <v>987</v>
      </c>
      <c r="B16" t="s">
        <v>152</v>
      </c>
      <c r="C16" s="115">
        <v>0.5</v>
      </c>
      <c r="D16" s="115">
        <v>0.5</v>
      </c>
      <c r="E16" s="115">
        <v>0.5</v>
      </c>
      <c r="F16" s="115">
        <v>0.5</v>
      </c>
      <c r="G16" s="115">
        <v>0.5</v>
      </c>
      <c r="H16" s="115">
        <v>0.5</v>
      </c>
      <c r="I16" s="115">
        <v>0.5</v>
      </c>
      <c r="J16" s="115">
        <v>0.5</v>
      </c>
      <c r="K16" s="115">
        <v>0.5</v>
      </c>
    </row>
    <row r="17" spans="1:11">
      <c r="A17" t="s">
        <v>982</v>
      </c>
      <c r="B17" t="s">
        <v>152</v>
      </c>
      <c r="C17" s="200">
        <v>2.5</v>
      </c>
      <c r="D17" s="200">
        <v>3</v>
      </c>
      <c r="E17" s="200">
        <v>3.25</v>
      </c>
      <c r="F17" s="200">
        <v>3.5</v>
      </c>
      <c r="G17" s="200">
        <v>4.5</v>
      </c>
      <c r="H17" s="200">
        <v>5</v>
      </c>
      <c r="I17" s="200">
        <v>5.5</v>
      </c>
      <c r="J17" s="200">
        <v>7</v>
      </c>
      <c r="K17" s="200">
        <v>8.5</v>
      </c>
    </row>
    <row r="18" spans="1:11">
      <c r="A18" t="s">
        <v>983</v>
      </c>
      <c r="B18" t="s">
        <v>152</v>
      </c>
      <c r="C18" s="200">
        <v>2</v>
      </c>
      <c r="D18" s="200">
        <v>2.5</v>
      </c>
      <c r="E18" s="200">
        <v>2.75</v>
      </c>
      <c r="F18" s="200">
        <v>3</v>
      </c>
      <c r="G18" s="200">
        <v>4</v>
      </c>
      <c r="H18" s="200">
        <v>4</v>
      </c>
      <c r="I18" s="200">
        <v>5</v>
      </c>
      <c r="J18" s="200">
        <v>6.5</v>
      </c>
      <c r="K18" s="200">
        <v>8</v>
      </c>
    </row>
    <row r="19" spans="1:11">
      <c r="A19" s="66"/>
      <c r="B19" s="66"/>
      <c r="C19" s="177"/>
      <c r="D19" s="177"/>
      <c r="E19" s="177"/>
      <c r="F19" s="177"/>
      <c r="G19" s="177"/>
      <c r="H19" s="177"/>
      <c r="I19" s="177"/>
      <c r="J19" s="177"/>
      <c r="K19" s="177"/>
    </row>
    <row r="20" spans="1:11">
      <c r="A20" s="66" t="s">
        <v>1040</v>
      </c>
      <c r="B20" s="66" t="s">
        <v>152</v>
      </c>
      <c r="C20" s="223">
        <f>C18/C13*C30</f>
        <v>1.8857142857142859</v>
      </c>
      <c r="D20" s="223">
        <f t="shared" ref="D20:K20" si="0">D18/D13*D30</f>
        <v>2.3571428571428572</v>
      </c>
      <c r="E20" s="223">
        <f t="shared" si="0"/>
        <v>2.6399999999999997</v>
      </c>
      <c r="F20" s="223">
        <f t="shared" si="0"/>
        <v>2.6999999999999997</v>
      </c>
      <c r="G20" s="223">
        <f t="shared" si="0"/>
        <v>3.1999999999999997</v>
      </c>
      <c r="H20" s="223">
        <f t="shared" si="0"/>
        <v>2.7428571428571424</v>
      </c>
      <c r="I20" s="223">
        <f t="shared" si="0"/>
        <v>4.5</v>
      </c>
      <c r="J20" s="223">
        <f t="shared" si="0"/>
        <v>4.68</v>
      </c>
      <c r="K20" s="223">
        <f t="shared" si="0"/>
        <v>4.7999999999999989</v>
      </c>
    </row>
    <row r="21" spans="1:11">
      <c r="A21" s="66" t="s">
        <v>1041</v>
      </c>
      <c r="B21" s="66" t="s">
        <v>152</v>
      </c>
      <c r="C21" s="217">
        <f>IF(ВыбГор_TypeFuel=1,f_b_000_Interpolate(C30,C13:K13,C17:K17),f_b_000_Interpolate(C30,C13:K13,C18:K18))</f>
        <v>2</v>
      </c>
      <c r="D21" s="217">
        <f>IF(ВыбГор_TypeFuel=1,f_b_000_Interpolate(D30,C13:K13,C17:K17),f_b_000_Interpolate(D30,C13:K13,C18:K18))</f>
        <v>2.4428571428571431</v>
      </c>
      <c r="E21" s="217">
        <f>IF(ВыбГор_TypeFuel=1,f_b_000_Interpolate(E30,C13:K13,C17:K17),f_b_000_Interpolate(E30,C13:K13,C18:K18))</f>
        <v>2.7199999999999998</v>
      </c>
      <c r="F21" s="217">
        <f>IF(ВыбГор_TypeFuel=1,f_b_000_Interpolate(F30,C13:K13,C17:K17),f_b_000_Interpolate(F30,C13:K13,C18:K18))</f>
        <v>2.9</v>
      </c>
      <c r="G21" s="217">
        <f>IF(ВыбГор_TypeFuel=1,f_b_000_Interpolate(G30,C13:K13,C17:K17),f_b_000_Interpolate(G30,C13:K13,C18:K18))</f>
        <v>3.4</v>
      </c>
      <c r="H21" s="217">
        <f>IF(ВыбГор_TypeFuel=1,f_b_000_Interpolate(H30,C13:K13,C17:K17),f_b_000_Interpolate(H30,C13:K13,C18:K18))</f>
        <v>3.4</v>
      </c>
      <c r="I21" s="217">
        <f>IF(ВыбГор_TypeFuel=1,f_b_000_Interpolate(I30,C13:K13,C17:K17),f_b_000_Interpolate(I30,C13:K13,C18:K18))</f>
        <v>4.1999999999999993</v>
      </c>
      <c r="J21" s="217">
        <f>IF(ВыбГор_TypeFuel=1,f_b_000_Interpolate(J30,C13:K13,C17:K17),f_b_000_Interpolate(J30,C13:K13,C18:K18))</f>
        <v>4.1999999999999993</v>
      </c>
      <c r="K21" s="217">
        <f>IF(ВыбГор_TypeFuel=1,f_b_000_Interpolate(K30,C13:K13,C17:K17),f_b_000_Interpolate(K30,C13:K13,C18:K18))</f>
        <v>4.1999999999999993</v>
      </c>
    </row>
    <row r="23" spans="1:11">
      <c r="A23" s="19" t="s">
        <v>972</v>
      </c>
    </row>
    <row r="25" spans="1:11" ht="30">
      <c r="A25" s="7" t="s">
        <v>973</v>
      </c>
      <c r="C25" s="67">
        <f t="shared" ref="C25:K25" si="1">ROUNDUP(ВыбГор_QFH*1.2/C13,0)</f>
        <v>15</v>
      </c>
      <c r="D25" s="67">
        <f t="shared" si="1"/>
        <v>8</v>
      </c>
      <c r="E25" s="67">
        <f t="shared" si="1"/>
        <v>5</v>
      </c>
      <c r="F25" s="67">
        <f t="shared" si="1"/>
        <v>4</v>
      </c>
      <c r="G25" s="67">
        <f t="shared" si="1"/>
        <v>3</v>
      </c>
      <c r="H25" s="67">
        <f t="shared" si="1"/>
        <v>3</v>
      </c>
      <c r="I25" s="67">
        <f t="shared" si="1"/>
        <v>2</v>
      </c>
      <c r="J25" s="67">
        <f t="shared" si="1"/>
        <v>2</v>
      </c>
      <c r="K25" s="67">
        <f t="shared" si="1"/>
        <v>2</v>
      </c>
    </row>
    <row r="26" spans="1:11">
      <c r="A26" s="7" t="s">
        <v>974</v>
      </c>
      <c r="C26" s="67">
        <f>f_b_003_f_66_kQB(C25)</f>
        <v>1.1000000000000001</v>
      </c>
      <c r="D26" s="67">
        <f t="shared" ref="D26:K26" si="2">f_b_003_f_66_kQB(D25)</f>
        <v>1.1000000000000001</v>
      </c>
      <c r="E26" s="67">
        <f t="shared" si="2"/>
        <v>1.2</v>
      </c>
      <c r="F26" s="67">
        <f t="shared" si="2"/>
        <v>1.2</v>
      </c>
      <c r="G26" s="67">
        <f t="shared" si="2"/>
        <v>1.2</v>
      </c>
      <c r="H26" s="67">
        <f t="shared" si="2"/>
        <v>1.2</v>
      </c>
      <c r="I26" s="67">
        <f t="shared" si="2"/>
        <v>1.2</v>
      </c>
      <c r="J26" s="67">
        <f t="shared" si="2"/>
        <v>1.2</v>
      </c>
      <c r="K26" s="67">
        <f t="shared" si="2"/>
        <v>1.2</v>
      </c>
    </row>
    <row r="27" spans="1:11">
      <c r="A27" s="7"/>
    </row>
    <row r="28" spans="1:11">
      <c r="A28" s="7" t="s">
        <v>975</v>
      </c>
      <c r="B28" t="s">
        <v>377</v>
      </c>
      <c r="C28" s="67">
        <f t="shared" ref="C28:K28" si="3">ROUND(ВыбГор_QFH*C26/C13,0)</f>
        <v>13</v>
      </c>
      <c r="D28" s="67">
        <f t="shared" si="3"/>
        <v>7</v>
      </c>
      <c r="E28" s="67">
        <f t="shared" si="3"/>
        <v>5</v>
      </c>
      <c r="F28" s="67">
        <f t="shared" si="3"/>
        <v>4</v>
      </c>
      <c r="G28" s="67">
        <f t="shared" si="3"/>
        <v>2</v>
      </c>
      <c r="H28" s="67">
        <f t="shared" si="3"/>
        <v>2</v>
      </c>
      <c r="I28" s="67">
        <f t="shared" si="3"/>
        <v>2</v>
      </c>
      <c r="J28" s="67">
        <f t="shared" si="3"/>
        <v>1</v>
      </c>
      <c r="K28" s="67">
        <f t="shared" si="3"/>
        <v>1</v>
      </c>
    </row>
    <row r="29" spans="1:11">
      <c r="A29" s="43" t="s">
        <v>985</v>
      </c>
      <c r="B29" s="6" t="s">
        <v>377</v>
      </c>
      <c r="C29" s="208">
        <f t="shared" ref="C29:K29" si="4">ROUNDUP(ВыбГор_QFH*C26/C13,0)</f>
        <v>14</v>
      </c>
      <c r="D29" s="208">
        <f t="shared" si="4"/>
        <v>7</v>
      </c>
      <c r="E29" s="208">
        <f t="shared" si="4"/>
        <v>5</v>
      </c>
      <c r="F29" s="208">
        <f t="shared" si="4"/>
        <v>4</v>
      </c>
      <c r="G29" s="208">
        <f t="shared" si="4"/>
        <v>3</v>
      </c>
      <c r="H29" s="208">
        <f t="shared" si="4"/>
        <v>3</v>
      </c>
      <c r="I29" s="208">
        <f t="shared" si="4"/>
        <v>2</v>
      </c>
      <c r="J29" s="208">
        <f t="shared" si="4"/>
        <v>2</v>
      </c>
      <c r="K29" s="208">
        <f t="shared" si="4"/>
        <v>2</v>
      </c>
    </row>
    <row r="30" spans="1:11" ht="21" customHeight="1">
      <c r="A30" s="43" t="s">
        <v>976</v>
      </c>
      <c r="B30" s="6" t="s">
        <v>213</v>
      </c>
      <c r="C30" s="224">
        <f t="shared" ref="C30:K30" si="5">ВыбГор_QFH*C26/C29</f>
        <v>0.47142857142857147</v>
      </c>
      <c r="D30" s="224">
        <f t="shared" si="5"/>
        <v>0.94285714285714295</v>
      </c>
      <c r="E30" s="224">
        <f t="shared" si="5"/>
        <v>1.44</v>
      </c>
      <c r="F30" s="224">
        <f t="shared" si="5"/>
        <v>1.7999999999999998</v>
      </c>
      <c r="G30" s="224">
        <f t="shared" si="5"/>
        <v>2.4</v>
      </c>
      <c r="H30" s="224">
        <f t="shared" si="5"/>
        <v>2.4</v>
      </c>
      <c r="I30" s="224">
        <f t="shared" si="5"/>
        <v>3.5999999999999996</v>
      </c>
      <c r="J30" s="224">
        <f t="shared" si="5"/>
        <v>3.5999999999999996</v>
      </c>
      <c r="K30" s="224">
        <f t="shared" si="5"/>
        <v>3.5999999999999996</v>
      </c>
    </row>
    <row r="31" spans="1:11">
      <c r="A31" s="7"/>
    </row>
    <row r="32" spans="1:11">
      <c r="A32" s="7" t="s">
        <v>984</v>
      </c>
      <c r="B32" t="s">
        <v>502</v>
      </c>
      <c r="C32" s="67">
        <f>ABS((C13-C30))*100/C30</f>
        <v>6.0606060606060499</v>
      </c>
      <c r="D32" s="67">
        <f t="shared" ref="D32:K32" si="6">ABS((D13-D30))*100/D30</f>
        <v>6.0606060606060499</v>
      </c>
      <c r="E32" s="67">
        <f t="shared" si="6"/>
        <v>4.1666666666666705</v>
      </c>
      <c r="F32" s="67">
        <f t="shared" si="6"/>
        <v>11.111111111111121</v>
      </c>
      <c r="G32" s="67">
        <f t="shared" si="6"/>
        <v>25.000000000000004</v>
      </c>
      <c r="H32" s="67">
        <f t="shared" si="6"/>
        <v>45.833333333333343</v>
      </c>
      <c r="I32" s="67">
        <f t="shared" si="6"/>
        <v>11.111111111111121</v>
      </c>
      <c r="J32" s="67">
        <f t="shared" si="6"/>
        <v>38.8888888888889</v>
      </c>
      <c r="K32" s="67">
        <f t="shared" si="6"/>
        <v>66.666666666666686</v>
      </c>
    </row>
    <row r="33" spans="1:11">
      <c r="A33" s="7"/>
    </row>
    <row r="34" spans="1:11" ht="45">
      <c r="A34" s="7" t="s">
        <v>977</v>
      </c>
      <c r="C34" s="121">
        <f t="shared" ref="C34:K34" si="7">f_b_003_f_67_lengthFB01(ВыбГор_TypeFuel,1,C30)</f>
        <v>2.6</v>
      </c>
      <c r="D34" s="121">
        <f t="shared" si="7"/>
        <v>3.4857142857142858</v>
      </c>
      <c r="E34" s="121">
        <f t="shared" si="7"/>
        <v>4.4799999999999995</v>
      </c>
      <c r="F34" s="121">
        <f t="shared" si="7"/>
        <v>5.1999999999999993</v>
      </c>
      <c r="G34" s="121">
        <f t="shared" si="7"/>
        <v>6.4799999999999995</v>
      </c>
      <c r="H34" s="121">
        <f t="shared" si="7"/>
        <v>6.4799999999999995</v>
      </c>
      <c r="I34" s="121">
        <f t="shared" si="7"/>
        <v>8.8999999999999986</v>
      </c>
      <c r="J34" s="121">
        <f t="shared" si="7"/>
        <v>8.8999999999999986</v>
      </c>
      <c r="K34" s="121">
        <f t="shared" si="7"/>
        <v>8.8999999999999986</v>
      </c>
    </row>
    <row r="35" spans="1:11" ht="30">
      <c r="A35" s="7" t="s">
        <v>978</v>
      </c>
      <c r="C35" s="212">
        <f t="shared" ref="C35:K35" si="8">f_b_003_f_68_lengthFB02(ВыбГор_TypeFuel,ВыбГор_TypeBurner,C30)</f>
        <v>0.93200000000000005</v>
      </c>
      <c r="D35" s="212">
        <f t="shared" si="8"/>
        <v>0.93200000000000005</v>
      </c>
      <c r="E35" s="212">
        <f t="shared" si="8"/>
        <v>0.93200000000000005</v>
      </c>
      <c r="F35" s="212">
        <f t="shared" si="8"/>
        <v>0.93200000000000005</v>
      </c>
      <c r="G35" s="212">
        <f t="shared" si="8"/>
        <v>1.032</v>
      </c>
      <c r="H35" s="212">
        <f t="shared" si="8"/>
        <v>1.032</v>
      </c>
      <c r="I35" s="212">
        <f t="shared" si="8"/>
        <v>1.2881999999999998</v>
      </c>
      <c r="J35" s="212">
        <f t="shared" si="8"/>
        <v>1.2881999999999998</v>
      </c>
      <c r="K35" s="212">
        <f t="shared" si="8"/>
        <v>1.2881999999999998</v>
      </c>
    </row>
    <row r="36" spans="1:11" ht="30">
      <c r="A36" s="7" t="s">
        <v>979</v>
      </c>
      <c r="C36" s="212">
        <f t="shared" ref="C36:K36" si="9">f_b_003_f_69_lengthFB03(ВыбГор_TypeFuel,1,C30)</f>
        <v>0.44</v>
      </c>
      <c r="D36" s="212">
        <f t="shared" si="9"/>
        <v>0.54628571428571437</v>
      </c>
      <c r="E36" s="212">
        <f t="shared" si="9"/>
        <v>0.68319999999999992</v>
      </c>
      <c r="F36" s="212">
        <f t="shared" si="9"/>
        <v>0.77799999999999991</v>
      </c>
      <c r="G36" s="212">
        <f t="shared" si="9"/>
        <v>0.93399999999999994</v>
      </c>
      <c r="H36" s="212">
        <f t="shared" si="9"/>
        <v>0.93399999999999994</v>
      </c>
      <c r="I36" s="212">
        <f t="shared" si="9"/>
        <v>1.246</v>
      </c>
      <c r="J36" s="212">
        <f t="shared" si="9"/>
        <v>1.246</v>
      </c>
      <c r="K36" s="212">
        <f t="shared" si="9"/>
        <v>1.246</v>
      </c>
    </row>
    <row r="37" spans="1:11" ht="30">
      <c r="A37" s="7" t="s">
        <v>980</v>
      </c>
      <c r="C37" s="212">
        <f t="shared" ref="C37:K37" si="10">f_b_003_f_70_lengthFB04(ВыбГор_TypeFuel,1,C30)</f>
        <v>3.4</v>
      </c>
      <c r="D37" s="212">
        <f t="shared" si="10"/>
        <v>4.7285714285714295</v>
      </c>
      <c r="E37" s="212">
        <f t="shared" si="10"/>
        <v>6.3079999999999998</v>
      </c>
      <c r="F37" s="212">
        <f t="shared" si="10"/>
        <v>7.4599999999999991</v>
      </c>
      <c r="G37" s="212">
        <f t="shared" si="10"/>
        <v>9.2999999999999989</v>
      </c>
      <c r="H37" s="212">
        <f t="shared" si="10"/>
        <v>9.2999999999999989</v>
      </c>
      <c r="I37" s="212">
        <f t="shared" si="10"/>
        <v>12.04</v>
      </c>
      <c r="J37" s="212">
        <f t="shared" si="10"/>
        <v>12.04</v>
      </c>
      <c r="K37" s="212">
        <f t="shared" si="10"/>
        <v>12.04</v>
      </c>
    </row>
    <row r="38" spans="1:11">
      <c r="A38" s="7"/>
    </row>
    <row r="39" spans="1:11">
      <c r="A39" s="7"/>
    </row>
    <row r="40" spans="1:11">
      <c r="A40" s="7"/>
    </row>
    <row r="41" spans="1:11">
      <c r="A41" s="62" t="s">
        <v>1022</v>
      </c>
    </row>
    <row r="42" spans="1:11">
      <c r="A42" s="7"/>
    </row>
    <row r="43" spans="1:11" ht="30">
      <c r="A43" s="7" t="s">
        <v>988</v>
      </c>
      <c r="B43" t="s">
        <v>152</v>
      </c>
      <c r="C43" s="212">
        <f>IF(C29&gt;1,(C14+C15)/SIN(PI()/C29),0)</f>
        <v>3.1457714452044541</v>
      </c>
      <c r="D43" s="212">
        <f t="shared" ref="D43:K43" si="11">IF(D29&gt;1,(D14+D15)/SIN(PI()/D29),0)</f>
        <v>1.6133354096737405</v>
      </c>
      <c r="E43" s="212">
        <f t="shared" si="11"/>
        <v>1.1909111316928558</v>
      </c>
      <c r="F43" s="212">
        <f t="shared" si="11"/>
        <v>1.2020815280171311</v>
      </c>
      <c r="G43" s="212">
        <f t="shared" si="11"/>
        <v>1.1547005383792517</v>
      </c>
      <c r="H43" s="212">
        <f t="shared" si="11"/>
        <v>1.1547005383792517</v>
      </c>
      <c r="I43" s="212">
        <f t="shared" si="11"/>
        <v>1</v>
      </c>
      <c r="J43" s="212">
        <f t="shared" si="11"/>
        <v>1.1000000000000001</v>
      </c>
      <c r="K43" s="212">
        <f t="shared" si="11"/>
        <v>1.1000000000000001</v>
      </c>
    </row>
    <row r="44" spans="1:11" ht="30">
      <c r="A44" s="7" t="s">
        <v>989</v>
      </c>
      <c r="B44" t="s">
        <v>152</v>
      </c>
      <c r="C44" s="212">
        <f>IF(C29&gt;1,(C14+C16)/SIN(PI()/C29),0)</f>
        <v>4.4939592074349344</v>
      </c>
      <c r="D44" s="212">
        <f t="shared" ref="D44:K44" si="12">IF(D29&gt;1,(D14+D16)/SIN(PI()/D29),0)</f>
        <v>2.3047648709624866</v>
      </c>
      <c r="E44" s="212">
        <f t="shared" si="12"/>
        <v>1.7013016167040798</v>
      </c>
      <c r="F44" s="212">
        <f t="shared" si="12"/>
        <v>1.6263455967290594</v>
      </c>
      <c r="G44" s="212">
        <f t="shared" si="12"/>
        <v>1.501110699893027</v>
      </c>
      <c r="H44" s="212">
        <f t="shared" si="12"/>
        <v>1.501110699893027</v>
      </c>
      <c r="I44" s="212">
        <f t="shared" si="12"/>
        <v>1.3</v>
      </c>
      <c r="J44" s="212">
        <f t="shared" si="12"/>
        <v>1.4</v>
      </c>
      <c r="K44" s="212">
        <f t="shared" si="12"/>
        <v>1.4</v>
      </c>
    </row>
    <row r="45" spans="1:11">
      <c r="C45" s="3"/>
      <c r="D45" s="3"/>
      <c r="E45" s="3"/>
      <c r="F45" s="3"/>
      <c r="G45" s="3"/>
      <c r="H45" s="3"/>
      <c r="I45" s="3"/>
      <c r="J45" s="3"/>
      <c r="K45" s="3"/>
    </row>
    <row r="46" spans="1:11">
      <c r="A46" s="227" t="s">
        <v>1012</v>
      </c>
      <c r="B46" t="s">
        <v>152</v>
      </c>
      <c r="C46" s="3">
        <f>C43+2*C35</f>
        <v>5.0097714452044544</v>
      </c>
      <c r="D46" s="3">
        <f t="shared" ref="D46:K46" si="13">D43+2*D35</f>
        <v>3.4773354096737403</v>
      </c>
      <c r="E46" s="3">
        <f t="shared" si="13"/>
        <v>3.0549111316928559</v>
      </c>
      <c r="F46" s="3">
        <f t="shared" si="13"/>
        <v>3.066081528017131</v>
      </c>
      <c r="G46" s="3">
        <f t="shared" si="13"/>
        <v>3.2187005383792515</v>
      </c>
      <c r="H46" s="3">
        <f t="shared" si="13"/>
        <v>3.2187005383792515</v>
      </c>
      <c r="I46" s="3">
        <f t="shared" si="13"/>
        <v>3.5763999999999996</v>
      </c>
      <c r="J46" s="3">
        <f t="shared" si="13"/>
        <v>3.6763999999999997</v>
      </c>
      <c r="K46" s="3">
        <f t="shared" si="13"/>
        <v>3.6763999999999997</v>
      </c>
    </row>
    <row r="47" spans="1:11" ht="30">
      <c r="A47" s="226" t="s">
        <v>1013</v>
      </c>
      <c r="B47" t="s">
        <v>152</v>
      </c>
      <c r="C47" s="3">
        <f>C44+2*C35</f>
        <v>6.3579592074349343</v>
      </c>
      <c r="D47" s="3">
        <f t="shared" ref="D47:K47" si="14">D44+2*D35</f>
        <v>4.1687648709624865</v>
      </c>
      <c r="E47" s="3">
        <f t="shared" si="14"/>
        <v>3.5653016167040796</v>
      </c>
      <c r="F47" s="3">
        <f t="shared" si="14"/>
        <v>3.4903455967290595</v>
      </c>
      <c r="G47" s="3">
        <f t="shared" si="14"/>
        <v>3.5651106998930269</v>
      </c>
      <c r="H47" s="3">
        <f t="shared" si="14"/>
        <v>3.5651106998930269</v>
      </c>
      <c r="I47" s="3">
        <f t="shared" si="14"/>
        <v>3.8763999999999994</v>
      </c>
      <c r="J47" s="3">
        <f t="shared" si="14"/>
        <v>3.9763999999999995</v>
      </c>
      <c r="K47" s="3">
        <f t="shared" si="14"/>
        <v>3.9763999999999995</v>
      </c>
    </row>
    <row r="49" spans="1:11">
      <c r="A49" s="43" t="s">
        <v>1023</v>
      </c>
    </row>
    <row r="50" spans="1:11">
      <c r="A50" s="83" t="s">
        <v>1025</v>
      </c>
      <c r="B50" s="66" t="s">
        <v>152</v>
      </c>
      <c r="C50" s="213">
        <v>0.10199999999999999</v>
      </c>
      <c r="D50" s="214">
        <f>C50</f>
        <v>0.10199999999999999</v>
      </c>
      <c r="E50" s="214">
        <f>C50</f>
        <v>0.10199999999999999</v>
      </c>
      <c r="F50" s="214">
        <f>C50</f>
        <v>0.10199999999999999</v>
      </c>
      <c r="G50" s="214">
        <f>C50</f>
        <v>0.10199999999999999</v>
      </c>
      <c r="H50" s="214">
        <f>C50</f>
        <v>0.10199999999999999</v>
      </c>
      <c r="I50" s="214">
        <f>C50</f>
        <v>0.10199999999999999</v>
      </c>
      <c r="J50" s="214">
        <f>C50</f>
        <v>0.10199999999999999</v>
      </c>
      <c r="K50" s="214">
        <f>C50</f>
        <v>0.10199999999999999</v>
      </c>
    </row>
    <row r="51" spans="1:11">
      <c r="A51" s="83" t="s">
        <v>1026</v>
      </c>
      <c r="B51" s="66" t="s">
        <v>152</v>
      </c>
      <c r="C51" s="213">
        <v>0.3</v>
      </c>
      <c r="D51" s="214">
        <f>C51</f>
        <v>0.3</v>
      </c>
      <c r="E51" s="214">
        <f>C51</f>
        <v>0.3</v>
      </c>
      <c r="F51" s="214">
        <f>C51</f>
        <v>0.3</v>
      </c>
      <c r="G51" s="214">
        <f>C51</f>
        <v>0.3</v>
      </c>
      <c r="H51" s="214">
        <f>C51</f>
        <v>0.3</v>
      </c>
      <c r="I51" s="214">
        <f>C51</f>
        <v>0.3</v>
      </c>
      <c r="J51" s="214">
        <f>C51</f>
        <v>0.3</v>
      </c>
      <c r="K51" s="214">
        <f>C51</f>
        <v>0.3</v>
      </c>
    </row>
    <row r="52" spans="1:11">
      <c r="A52" s="83" t="s">
        <v>1027</v>
      </c>
      <c r="B52" s="66" t="s">
        <v>152</v>
      </c>
      <c r="C52" s="210">
        <f t="shared" ref="C52:K52" si="15">MAX(0.1,1.5*C50)</f>
        <v>0.153</v>
      </c>
      <c r="D52" s="210">
        <f t="shared" si="15"/>
        <v>0.153</v>
      </c>
      <c r="E52" s="210">
        <f t="shared" si="15"/>
        <v>0.153</v>
      </c>
      <c r="F52" s="210">
        <f t="shared" si="15"/>
        <v>0.153</v>
      </c>
      <c r="G52" s="210">
        <f t="shared" si="15"/>
        <v>0.153</v>
      </c>
      <c r="H52" s="210">
        <f t="shared" si="15"/>
        <v>0.153</v>
      </c>
      <c r="I52" s="210">
        <f t="shared" si="15"/>
        <v>0.153</v>
      </c>
      <c r="J52" s="210">
        <f t="shared" si="15"/>
        <v>0.153</v>
      </c>
      <c r="K52" s="210">
        <f t="shared" si="15"/>
        <v>0.153</v>
      </c>
    </row>
    <row r="53" spans="1:11">
      <c r="A53" s="83" t="s">
        <v>1028</v>
      </c>
      <c r="B53" s="66" t="s">
        <v>152</v>
      </c>
      <c r="C53" s="213">
        <v>0.155</v>
      </c>
      <c r="D53" s="214">
        <f>C53</f>
        <v>0.155</v>
      </c>
      <c r="E53" s="214">
        <f>C53</f>
        <v>0.155</v>
      </c>
      <c r="F53" s="214">
        <f>C53</f>
        <v>0.155</v>
      </c>
      <c r="G53" s="214">
        <f>C53</f>
        <v>0.155</v>
      </c>
      <c r="H53" s="214">
        <f>C53</f>
        <v>0.155</v>
      </c>
      <c r="I53" s="214">
        <f>C53</f>
        <v>0.155</v>
      </c>
      <c r="J53" s="214">
        <f>C53</f>
        <v>0.155</v>
      </c>
      <c r="K53" s="214">
        <f>C53</f>
        <v>0.155</v>
      </c>
    </row>
    <row r="54" spans="1:11">
      <c r="A54" s="83" t="s">
        <v>1029</v>
      </c>
      <c r="B54" s="66" t="s">
        <v>152</v>
      </c>
      <c r="C54" s="211">
        <f t="shared" ref="C54:K54" si="16">MAX(0.1,1.5*C50)</f>
        <v>0.153</v>
      </c>
      <c r="D54" s="211">
        <f t="shared" si="16"/>
        <v>0.153</v>
      </c>
      <c r="E54" s="211">
        <f t="shared" si="16"/>
        <v>0.153</v>
      </c>
      <c r="F54" s="211">
        <f t="shared" si="16"/>
        <v>0.153</v>
      </c>
      <c r="G54" s="211">
        <f t="shared" si="16"/>
        <v>0.153</v>
      </c>
      <c r="H54" s="211">
        <f t="shared" si="16"/>
        <v>0.153</v>
      </c>
      <c r="I54" s="211">
        <f t="shared" si="16"/>
        <v>0.153</v>
      </c>
      <c r="J54" s="211">
        <f t="shared" si="16"/>
        <v>0.153</v>
      </c>
      <c r="K54" s="211">
        <f t="shared" si="16"/>
        <v>0.153</v>
      </c>
    </row>
    <row r="55" spans="1:11">
      <c r="A55" s="83" t="s">
        <v>1030</v>
      </c>
      <c r="B55" s="66" t="s">
        <v>152</v>
      </c>
      <c r="C55" s="213">
        <v>0.155</v>
      </c>
      <c r="D55" s="214">
        <f>C55</f>
        <v>0.155</v>
      </c>
      <c r="E55" s="214">
        <f>C55</f>
        <v>0.155</v>
      </c>
      <c r="F55" s="214">
        <f>C55</f>
        <v>0.155</v>
      </c>
      <c r="G55" s="214">
        <f>C55</f>
        <v>0.155</v>
      </c>
      <c r="H55" s="214">
        <f>C55</f>
        <v>0.155</v>
      </c>
      <c r="I55" s="214">
        <f>C55</f>
        <v>0.155</v>
      </c>
      <c r="J55" s="214">
        <f>C55</f>
        <v>0.155</v>
      </c>
      <c r="K55" s="214">
        <f>C55</f>
        <v>0.155</v>
      </c>
    </row>
    <row r="56" spans="1:11">
      <c r="A56" s="83" t="s">
        <v>967</v>
      </c>
      <c r="B56" s="66" t="s">
        <v>152</v>
      </c>
      <c r="C56" s="213">
        <v>0.27500000000000002</v>
      </c>
      <c r="D56" s="214">
        <f>C56</f>
        <v>0.27500000000000002</v>
      </c>
      <c r="E56" s="214">
        <f>C56</f>
        <v>0.27500000000000002</v>
      </c>
      <c r="F56" s="214">
        <f>C56</f>
        <v>0.27500000000000002</v>
      </c>
      <c r="G56" s="214">
        <f>C56</f>
        <v>0.27500000000000002</v>
      </c>
      <c r="H56" s="214">
        <f>C56</f>
        <v>0.27500000000000002</v>
      </c>
      <c r="I56" s="214">
        <f>C56</f>
        <v>0.27500000000000002</v>
      </c>
      <c r="J56" s="214">
        <f>C56</f>
        <v>0.27500000000000002</v>
      </c>
      <c r="K56" s="214">
        <f>C56</f>
        <v>0.27500000000000002</v>
      </c>
    </row>
    <row r="57" spans="1:11">
      <c r="A57" s="83"/>
      <c r="B57" s="66"/>
      <c r="C57" s="218"/>
      <c r="D57" s="218"/>
      <c r="E57" s="218"/>
      <c r="F57" s="218"/>
      <c r="G57" s="218"/>
      <c r="H57" s="218"/>
      <c r="I57" s="218"/>
      <c r="J57" s="218"/>
      <c r="K57" s="218"/>
    </row>
    <row r="58" spans="1:11">
      <c r="A58" s="233" t="s">
        <v>112</v>
      </c>
      <c r="B58" s="66"/>
      <c r="C58" s="209">
        <v>1</v>
      </c>
      <c r="D58" s="219">
        <f>C58</f>
        <v>1</v>
      </c>
      <c r="E58" s="219">
        <f>C58</f>
        <v>1</v>
      </c>
      <c r="F58" s="219">
        <f>C58</f>
        <v>1</v>
      </c>
      <c r="G58" s="219">
        <f>C58</f>
        <v>1</v>
      </c>
      <c r="H58" s="219">
        <f>C58</f>
        <v>1</v>
      </c>
      <c r="I58" s="219">
        <f>C58</f>
        <v>1</v>
      </c>
      <c r="J58" s="219">
        <f>C58</f>
        <v>1</v>
      </c>
      <c r="K58" s="219">
        <f>C58</f>
        <v>1</v>
      </c>
    </row>
    <row r="59" spans="1:11">
      <c r="A59" s="83"/>
      <c r="B59" s="66"/>
      <c r="C59" s="218"/>
      <c r="D59" s="218"/>
      <c r="E59" s="218"/>
      <c r="F59" s="218"/>
      <c r="G59" s="218"/>
      <c r="H59" s="218"/>
      <c r="I59" s="218"/>
      <c r="J59" s="218"/>
      <c r="K59" s="218"/>
    </row>
    <row r="60" spans="1:11" s="66" customFormat="1">
      <c r="A60" s="225" t="s">
        <v>1036</v>
      </c>
      <c r="C60" s="127">
        <v>1.5</v>
      </c>
      <c r="D60" s="217">
        <f>C60</f>
        <v>1.5</v>
      </c>
      <c r="E60" s="217">
        <f>C60</f>
        <v>1.5</v>
      </c>
      <c r="F60" s="217">
        <f>C60</f>
        <v>1.5</v>
      </c>
      <c r="G60" s="217">
        <f>C60</f>
        <v>1.5</v>
      </c>
      <c r="H60" s="217">
        <f>C60</f>
        <v>1.5</v>
      </c>
      <c r="I60" s="217">
        <f>C60</f>
        <v>1.5</v>
      </c>
      <c r="J60" s="217">
        <f>C60</f>
        <v>1.5</v>
      </c>
      <c r="K60" s="217">
        <f>C60</f>
        <v>1.5</v>
      </c>
    </row>
    <row r="61" spans="1:11">
      <c r="A61" s="83" t="s">
        <v>1037</v>
      </c>
      <c r="B61" s="66"/>
      <c r="C61" s="127">
        <v>2.75</v>
      </c>
      <c r="D61" s="217">
        <f>C61</f>
        <v>2.75</v>
      </c>
      <c r="E61" s="217">
        <f>C61</f>
        <v>2.75</v>
      </c>
      <c r="F61" s="217">
        <f>C61</f>
        <v>2.75</v>
      </c>
      <c r="G61" s="217">
        <f>C61</f>
        <v>2.75</v>
      </c>
      <c r="H61" s="217">
        <f>C61</f>
        <v>2.75</v>
      </c>
      <c r="I61" s="217">
        <f>C61</f>
        <v>2.75</v>
      </c>
      <c r="J61" s="217">
        <f>C61</f>
        <v>2.75</v>
      </c>
      <c r="K61" s="217">
        <f>C61</f>
        <v>2.75</v>
      </c>
    </row>
    <row r="62" spans="1:11">
      <c r="A62" s="83"/>
      <c r="B62" s="66"/>
      <c r="C62" s="218"/>
      <c r="D62" s="218"/>
      <c r="E62" s="218"/>
      <c r="F62" s="218"/>
      <c r="G62" s="218"/>
      <c r="H62" s="218"/>
      <c r="I62" s="218"/>
      <c r="J62" s="218"/>
      <c r="K62" s="218"/>
    </row>
    <row r="63" spans="1:11">
      <c r="A63" s="228" t="s">
        <v>1042</v>
      </c>
      <c r="B63" s="66"/>
      <c r="C63" s="219">
        <f>EVEN(ROUND(PI()*C46/C56,0))</f>
        <v>58</v>
      </c>
      <c r="D63" s="219">
        <f t="shared" ref="D63:K63" si="17">EVEN(ROUND(PI()*D46/D56,0))</f>
        <v>40</v>
      </c>
      <c r="E63" s="219">
        <f t="shared" si="17"/>
        <v>36</v>
      </c>
      <c r="F63" s="219">
        <f t="shared" si="17"/>
        <v>36</v>
      </c>
      <c r="G63" s="219">
        <f t="shared" si="17"/>
        <v>38</v>
      </c>
      <c r="H63" s="219">
        <f t="shared" si="17"/>
        <v>38</v>
      </c>
      <c r="I63" s="219">
        <f t="shared" si="17"/>
        <v>42</v>
      </c>
      <c r="J63" s="219">
        <f t="shared" si="17"/>
        <v>42</v>
      </c>
      <c r="K63" s="219">
        <f t="shared" si="17"/>
        <v>42</v>
      </c>
    </row>
    <row r="64" spans="1:11">
      <c r="A64" s="228" t="s">
        <v>1043</v>
      </c>
      <c r="B64" s="66"/>
      <c r="C64" s="219">
        <f t="shared" ref="C64:K64" si="18">EVEN(ROUND(C63/C58,0))</f>
        <v>58</v>
      </c>
      <c r="D64" s="219">
        <f t="shared" si="18"/>
        <v>40</v>
      </c>
      <c r="E64" s="219">
        <f t="shared" si="18"/>
        <v>36</v>
      </c>
      <c r="F64" s="219">
        <f t="shared" si="18"/>
        <v>36</v>
      </c>
      <c r="G64" s="219">
        <f t="shared" si="18"/>
        <v>38</v>
      </c>
      <c r="H64" s="219">
        <f t="shared" si="18"/>
        <v>38</v>
      </c>
      <c r="I64" s="219">
        <f t="shared" si="18"/>
        <v>42</v>
      </c>
      <c r="J64" s="219">
        <f t="shared" si="18"/>
        <v>42</v>
      </c>
      <c r="K64" s="219">
        <f t="shared" si="18"/>
        <v>42</v>
      </c>
    </row>
    <row r="65" spans="1:11">
      <c r="A65" s="229" t="s">
        <v>1044</v>
      </c>
      <c r="B65" s="66"/>
      <c r="C65" s="219">
        <f>EVEN(ROUND(PI()*C47/C56,0))</f>
        <v>74</v>
      </c>
      <c r="D65" s="219">
        <f t="shared" ref="D65:K65" si="19">EVEN(ROUND(PI()*D47/D56,0))</f>
        <v>48</v>
      </c>
      <c r="E65" s="219">
        <f t="shared" si="19"/>
        <v>42</v>
      </c>
      <c r="F65" s="219">
        <f t="shared" si="19"/>
        <v>40</v>
      </c>
      <c r="G65" s="219">
        <f t="shared" si="19"/>
        <v>42</v>
      </c>
      <c r="H65" s="219">
        <f t="shared" si="19"/>
        <v>42</v>
      </c>
      <c r="I65" s="219">
        <f t="shared" si="19"/>
        <v>44</v>
      </c>
      <c r="J65" s="219">
        <f t="shared" si="19"/>
        <v>46</v>
      </c>
      <c r="K65" s="219">
        <f t="shared" si="19"/>
        <v>46</v>
      </c>
    </row>
    <row r="66" spans="1:11">
      <c r="A66" s="229" t="s">
        <v>1045</v>
      </c>
      <c r="B66" s="66"/>
      <c r="C66" s="219">
        <f t="shared" ref="C66:K66" si="20">EVEN(ROUND(C65/C58,0))</f>
        <v>74</v>
      </c>
      <c r="D66" s="219">
        <f t="shared" si="20"/>
        <v>48</v>
      </c>
      <c r="E66" s="219">
        <f t="shared" si="20"/>
        <v>42</v>
      </c>
      <c r="F66" s="219">
        <f t="shared" si="20"/>
        <v>40</v>
      </c>
      <c r="G66" s="219">
        <f t="shared" si="20"/>
        <v>42</v>
      </c>
      <c r="H66" s="219">
        <f t="shared" si="20"/>
        <v>42</v>
      </c>
      <c r="I66" s="219">
        <f t="shared" si="20"/>
        <v>44</v>
      </c>
      <c r="J66" s="219">
        <f t="shared" si="20"/>
        <v>46</v>
      </c>
      <c r="K66" s="219">
        <f t="shared" si="20"/>
        <v>46</v>
      </c>
    </row>
    <row r="67" spans="1:11">
      <c r="A67" s="83"/>
      <c r="B67" s="66"/>
      <c r="C67" s="218"/>
      <c r="D67" s="218"/>
      <c r="E67" s="218"/>
      <c r="F67" s="218"/>
      <c r="G67" s="218"/>
      <c r="H67" s="218"/>
      <c r="I67" s="218"/>
      <c r="J67" s="218"/>
      <c r="K67" s="218"/>
    </row>
    <row r="68" spans="1:11">
      <c r="A68" s="228" t="s">
        <v>1047</v>
      </c>
      <c r="B68" s="66" t="s">
        <v>152</v>
      </c>
      <c r="C68" s="214">
        <f t="shared" ref="C68:K68" si="21">C63*C56/PI()</f>
        <v>5.0770426846314614</v>
      </c>
      <c r="D68" s="214">
        <f t="shared" si="21"/>
        <v>3.5014087480216975</v>
      </c>
      <c r="E68" s="214">
        <f t="shared" si="21"/>
        <v>3.1512678732195281</v>
      </c>
      <c r="F68" s="214">
        <f t="shared" si="21"/>
        <v>3.1512678732195281</v>
      </c>
      <c r="G68" s="214">
        <f t="shared" si="21"/>
        <v>3.326338310620613</v>
      </c>
      <c r="H68" s="214">
        <f t="shared" si="21"/>
        <v>3.326338310620613</v>
      </c>
      <c r="I68" s="214">
        <f t="shared" si="21"/>
        <v>3.6764791854227825</v>
      </c>
      <c r="J68" s="214">
        <f t="shared" si="21"/>
        <v>3.6764791854227825</v>
      </c>
      <c r="K68" s="214">
        <f t="shared" si="21"/>
        <v>3.6764791854227825</v>
      </c>
    </row>
    <row r="69" spans="1:11">
      <c r="A69" s="229" t="s">
        <v>1046</v>
      </c>
      <c r="B69" s="66" t="s">
        <v>152</v>
      </c>
      <c r="C69" s="214">
        <f t="shared" ref="C69:K69" si="22">C65*C56/PI()</f>
        <v>6.4776061838401411</v>
      </c>
      <c r="D69" s="214">
        <f t="shared" si="22"/>
        <v>4.2016904976260374</v>
      </c>
      <c r="E69" s="214">
        <f t="shared" si="22"/>
        <v>3.6764791854227825</v>
      </c>
      <c r="F69" s="214">
        <f t="shared" si="22"/>
        <v>3.5014087480216975</v>
      </c>
      <c r="G69" s="214">
        <f t="shared" si="22"/>
        <v>3.6764791854227825</v>
      </c>
      <c r="H69" s="214">
        <f t="shared" si="22"/>
        <v>3.6764791854227825</v>
      </c>
      <c r="I69" s="214">
        <f t="shared" si="22"/>
        <v>3.8515496228238679</v>
      </c>
      <c r="J69" s="214">
        <f t="shared" si="22"/>
        <v>4.0266200602249524</v>
      </c>
      <c r="K69" s="214">
        <f t="shared" si="22"/>
        <v>4.0266200602249524</v>
      </c>
    </row>
    <row r="70" spans="1:11">
      <c r="A70" s="83"/>
      <c r="B70" s="66"/>
      <c r="C70" s="218"/>
      <c r="D70" s="218"/>
      <c r="E70" s="218"/>
      <c r="F70" s="218"/>
      <c r="G70" s="218"/>
      <c r="H70" s="218"/>
      <c r="I70" s="218"/>
      <c r="J70" s="218"/>
      <c r="K70" s="218"/>
    </row>
    <row r="71" spans="1:11" ht="45">
      <c r="A71" s="230" t="s">
        <v>1048</v>
      </c>
      <c r="B71" s="216" t="s">
        <v>152</v>
      </c>
      <c r="C71" s="214">
        <f>C60*C68</f>
        <v>7.615564026947192</v>
      </c>
      <c r="D71" s="214">
        <f t="shared" ref="D71:K71" si="23">D60*D68</f>
        <v>5.2521131220325463</v>
      </c>
      <c r="E71" s="214">
        <f t="shared" si="23"/>
        <v>4.7269018098292923</v>
      </c>
      <c r="F71" s="214">
        <f t="shared" si="23"/>
        <v>4.7269018098292923</v>
      </c>
      <c r="G71" s="214">
        <f t="shared" si="23"/>
        <v>4.9895074659309193</v>
      </c>
      <c r="H71" s="214">
        <f t="shared" si="23"/>
        <v>4.9895074659309193</v>
      </c>
      <c r="I71" s="214">
        <f t="shared" si="23"/>
        <v>5.5147187781341742</v>
      </c>
      <c r="J71" s="214">
        <f t="shared" si="23"/>
        <v>5.5147187781341742</v>
      </c>
      <c r="K71" s="214">
        <f t="shared" si="23"/>
        <v>5.5147187781341742</v>
      </c>
    </row>
    <row r="72" spans="1:11" ht="45">
      <c r="A72" s="231" t="s">
        <v>1049</v>
      </c>
      <c r="B72" s="150" t="s">
        <v>152</v>
      </c>
      <c r="C72" s="214">
        <f>C69*C60</f>
        <v>9.7164092757602116</v>
      </c>
      <c r="D72" s="214">
        <f t="shared" ref="D72:K72" si="24">D69*D60</f>
        <v>6.3025357464390561</v>
      </c>
      <c r="E72" s="214">
        <f t="shared" si="24"/>
        <v>5.5147187781341742</v>
      </c>
      <c r="F72" s="214">
        <f t="shared" si="24"/>
        <v>5.2521131220325463</v>
      </c>
      <c r="G72" s="214">
        <f t="shared" si="24"/>
        <v>5.5147187781341742</v>
      </c>
      <c r="H72" s="214">
        <f t="shared" si="24"/>
        <v>5.5147187781341742</v>
      </c>
      <c r="I72" s="214">
        <f t="shared" si="24"/>
        <v>5.7773244342358021</v>
      </c>
      <c r="J72" s="214">
        <f t="shared" si="24"/>
        <v>6.0399300903374282</v>
      </c>
      <c r="K72" s="214">
        <f t="shared" si="24"/>
        <v>6.0399300903374282</v>
      </c>
    </row>
    <row r="73" spans="1:11">
      <c r="A73" s="83"/>
      <c r="B73" s="66"/>
      <c r="C73" s="218"/>
      <c r="D73" s="218"/>
      <c r="E73" s="218"/>
      <c r="F73" s="218"/>
      <c r="G73" s="218"/>
      <c r="H73" s="218"/>
      <c r="I73" s="218"/>
      <c r="J73" s="218"/>
      <c r="K73" s="218"/>
    </row>
    <row r="74" spans="1:11" ht="45">
      <c r="A74" s="230" t="s">
        <v>1050</v>
      </c>
      <c r="B74" s="150" t="s">
        <v>152</v>
      </c>
      <c r="C74" s="214">
        <f>C68*C61</f>
        <v>13.961867382736518</v>
      </c>
      <c r="D74" s="214">
        <f t="shared" ref="D74:K74" si="25">D68*D61</f>
        <v>9.6288740570596687</v>
      </c>
      <c r="E74" s="214">
        <f t="shared" si="25"/>
        <v>8.6659866513537018</v>
      </c>
      <c r="F74" s="214">
        <f t="shared" si="25"/>
        <v>8.6659866513537018</v>
      </c>
      <c r="G74" s="214">
        <f t="shared" si="25"/>
        <v>9.1474303542066853</v>
      </c>
      <c r="H74" s="214">
        <f t="shared" si="25"/>
        <v>9.1474303542066853</v>
      </c>
      <c r="I74" s="214">
        <f t="shared" si="25"/>
        <v>10.110317759912652</v>
      </c>
      <c r="J74" s="214">
        <f t="shared" si="25"/>
        <v>10.110317759912652</v>
      </c>
      <c r="K74" s="214">
        <f t="shared" si="25"/>
        <v>10.110317759912652</v>
      </c>
    </row>
    <row r="75" spans="1:11" ht="45">
      <c r="A75" s="231" t="s">
        <v>1051</v>
      </c>
      <c r="B75" s="150" t="s">
        <v>152</v>
      </c>
      <c r="C75" s="214">
        <f>C69*C61</f>
        <v>17.813417005560389</v>
      </c>
      <c r="D75" s="214">
        <f t="shared" ref="D75:K75" si="26">D69*D61</f>
        <v>11.554648868471602</v>
      </c>
      <c r="E75" s="214">
        <f t="shared" si="26"/>
        <v>10.110317759912652</v>
      </c>
      <c r="F75" s="214">
        <f t="shared" si="26"/>
        <v>9.6288740570596687</v>
      </c>
      <c r="G75" s="214">
        <f t="shared" si="26"/>
        <v>10.110317759912652</v>
      </c>
      <c r="H75" s="214">
        <f t="shared" si="26"/>
        <v>10.110317759912652</v>
      </c>
      <c r="I75" s="214">
        <f t="shared" si="26"/>
        <v>10.591761462765637</v>
      </c>
      <c r="J75" s="214">
        <f t="shared" si="26"/>
        <v>11.073205165618619</v>
      </c>
      <c r="K75" s="214">
        <f t="shared" si="26"/>
        <v>11.073205165618619</v>
      </c>
    </row>
    <row r="76" spans="1:11">
      <c r="A76" s="83"/>
      <c r="B76" s="66"/>
      <c r="C76" s="218"/>
      <c r="D76" s="218"/>
      <c r="E76" s="218"/>
      <c r="F76" s="218"/>
      <c r="G76" s="218"/>
      <c r="H76" s="218"/>
      <c r="I76" s="218"/>
      <c r="J76" s="218"/>
      <c r="K76" s="218"/>
    </row>
    <row r="77" spans="1:11">
      <c r="A77" s="234" t="s">
        <v>1052</v>
      </c>
      <c r="B77" s="66"/>
      <c r="C77" s="209">
        <f t="shared" ref="C77:J77" si="27">C66</f>
        <v>74</v>
      </c>
      <c r="D77" s="209">
        <f t="shared" si="27"/>
        <v>48</v>
      </c>
      <c r="E77" s="209">
        <f t="shared" si="27"/>
        <v>42</v>
      </c>
      <c r="F77" s="209">
        <f t="shared" si="27"/>
        <v>40</v>
      </c>
      <c r="G77" s="209">
        <f t="shared" si="27"/>
        <v>42</v>
      </c>
      <c r="H77" s="209">
        <f t="shared" si="27"/>
        <v>42</v>
      </c>
      <c r="I77" s="209">
        <f t="shared" si="27"/>
        <v>44</v>
      </c>
      <c r="J77" s="209">
        <f t="shared" si="27"/>
        <v>46</v>
      </c>
      <c r="K77" s="209">
        <f>K66</f>
        <v>46</v>
      </c>
    </row>
    <row r="78" spans="1:11">
      <c r="A78" s="83" t="s">
        <v>1053</v>
      </c>
      <c r="B78" s="66"/>
      <c r="C78" s="219">
        <f t="shared" ref="C78:K78" si="28">C77*C58</f>
        <v>74</v>
      </c>
      <c r="D78" s="219">
        <f t="shared" si="28"/>
        <v>48</v>
      </c>
      <c r="E78" s="219">
        <f t="shared" si="28"/>
        <v>42</v>
      </c>
      <c r="F78" s="219">
        <f t="shared" si="28"/>
        <v>40</v>
      </c>
      <c r="G78" s="219">
        <f t="shared" si="28"/>
        <v>42</v>
      </c>
      <c r="H78" s="219">
        <f t="shared" si="28"/>
        <v>42</v>
      </c>
      <c r="I78" s="219">
        <f t="shared" si="28"/>
        <v>44</v>
      </c>
      <c r="J78" s="219">
        <f t="shared" si="28"/>
        <v>46</v>
      </c>
      <c r="K78" s="219">
        <f t="shared" si="28"/>
        <v>46</v>
      </c>
    </row>
    <row r="79" spans="1:11">
      <c r="A79" s="83"/>
      <c r="B79" s="66"/>
      <c r="C79" s="218"/>
      <c r="D79" s="218"/>
      <c r="E79" s="218"/>
      <c r="F79" s="218"/>
      <c r="G79" s="218"/>
      <c r="H79" s="218"/>
      <c r="I79" s="218"/>
      <c r="J79" s="218"/>
      <c r="K79" s="218"/>
    </row>
    <row r="80" spans="1:11">
      <c r="A80" s="233" t="s">
        <v>1054</v>
      </c>
      <c r="B80" s="66" t="s">
        <v>152</v>
      </c>
      <c r="C80" s="214">
        <f t="shared" ref="C80:K80" si="29">C78*C56/PI()</f>
        <v>6.4776061838401411</v>
      </c>
      <c r="D80" s="214">
        <f t="shared" si="29"/>
        <v>4.2016904976260374</v>
      </c>
      <c r="E80" s="214">
        <f t="shared" si="29"/>
        <v>3.6764791854227825</v>
      </c>
      <c r="F80" s="214">
        <f t="shared" si="29"/>
        <v>3.5014087480216975</v>
      </c>
      <c r="G80" s="214">
        <f t="shared" si="29"/>
        <v>3.6764791854227825</v>
      </c>
      <c r="H80" s="214">
        <f t="shared" si="29"/>
        <v>3.6764791854227825</v>
      </c>
      <c r="I80" s="214">
        <f t="shared" si="29"/>
        <v>3.8515496228238679</v>
      </c>
      <c r="J80" s="214">
        <f t="shared" si="29"/>
        <v>4.0266200602249524</v>
      </c>
      <c r="K80" s="214">
        <f t="shared" si="29"/>
        <v>4.0266200602249524</v>
      </c>
    </row>
    <row r="81" spans="1:12">
      <c r="A81" s="83"/>
      <c r="B81" s="66"/>
      <c r="C81" s="218"/>
      <c r="D81" s="218"/>
      <c r="E81" s="218"/>
      <c r="F81" s="218"/>
      <c r="G81" s="218"/>
      <c r="H81" s="218"/>
      <c r="I81" s="218"/>
      <c r="J81" s="218"/>
      <c r="K81" s="218"/>
    </row>
    <row r="82" spans="1:12" ht="30">
      <c r="A82" s="79" t="s">
        <v>1057</v>
      </c>
      <c r="B82" s="66" t="s">
        <v>152</v>
      </c>
      <c r="C82" s="214">
        <f>C80*C60</f>
        <v>9.7164092757602116</v>
      </c>
      <c r="D82" s="214">
        <f t="shared" ref="D82:K82" si="30">D80*D60</f>
        <v>6.3025357464390561</v>
      </c>
      <c r="E82" s="214">
        <f t="shared" si="30"/>
        <v>5.5147187781341742</v>
      </c>
      <c r="F82" s="214">
        <f t="shared" si="30"/>
        <v>5.2521131220325463</v>
      </c>
      <c r="G82" s="214">
        <f t="shared" si="30"/>
        <v>5.5147187781341742</v>
      </c>
      <c r="H82" s="214">
        <f t="shared" si="30"/>
        <v>5.5147187781341742</v>
      </c>
      <c r="I82" s="214">
        <f t="shared" si="30"/>
        <v>5.7773244342358021</v>
      </c>
      <c r="J82" s="214">
        <f t="shared" si="30"/>
        <v>6.0399300903374282</v>
      </c>
      <c r="K82" s="214">
        <f t="shared" si="30"/>
        <v>6.0399300903374282</v>
      </c>
    </row>
    <row r="83" spans="1:12">
      <c r="A83" s="79" t="s">
        <v>1058</v>
      </c>
      <c r="B83" s="66" t="s">
        <v>152</v>
      </c>
      <c r="C83" s="210">
        <f>C34</f>
        <v>2.6</v>
      </c>
      <c r="D83" s="210">
        <f t="shared" ref="D83:K83" si="31">D34</f>
        <v>3.4857142857142858</v>
      </c>
      <c r="E83" s="210">
        <f t="shared" si="31"/>
        <v>4.4799999999999995</v>
      </c>
      <c r="F83" s="210">
        <f t="shared" si="31"/>
        <v>5.1999999999999993</v>
      </c>
      <c r="G83" s="210">
        <f t="shared" si="31"/>
        <v>6.4799999999999995</v>
      </c>
      <c r="H83" s="210">
        <f t="shared" si="31"/>
        <v>6.4799999999999995</v>
      </c>
      <c r="I83" s="210">
        <f t="shared" si="31"/>
        <v>8.8999999999999986</v>
      </c>
      <c r="J83" s="210">
        <f t="shared" si="31"/>
        <v>8.8999999999999986</v>
      </c>
      <c r="K83" s="210">
        <f t="shared" si="31"/>
        <v>8.8999999999999986</v>
      </c>
    </row>
    <row r="84" spans="1:12" ht="30">
      <c r="A84" s="79" t="s">
        <v>1059</v>
      </c>
      <c r="B84" s="66" t="s">
        <v>152</v>
      </c>
      <c r="C84" s="214">
        <f>C80*C61</f>
        <v>17.813417005560389</v>
      </c>
      <c r="D84" s="214">
        <f t="shared" ref="D84:K84" si="32">D80*D61</f>
        <v>11.554648868471602</v>
      </c>
      <c r="E84" s="214">
        <f t="shared" si="32"/>
        <v>10.110317759912652</v>
      </c>
      <c r="F84" s="214">
        <f t="shared" si="32"/>
        <v>9.6288740570596687</v>
      </c>
      <c r="G84" s="214">
        <f t="shared" si="32"/>
        <v>10.110317759912652</v>
      </c>
      <c r="H84" s="214">
        <f t="shared" si="32"/>
        <v>10.110317759912652</v>
      </c>
      <c r="I84" s="214">
        <f t="shared" si="32"/>
        <v>10.591761462765637</v>
      </c>
      <c r="J84" s="214">
        <f t="shared" si="32"/>
        <v>11.073205165618619</v>
      </c>
      <c r="K84" s="214">
        <f t="shared" si="32"/>
        <v>11.073205165618619</v>
      </c>
    </row>
    <row r="85" spans="1:12">
      <c r="A85" s="83" t="s">
        <v>1060</v>
      </c>
      <c r="B85" s="66" t="s">
        <v>152</v>
      </c>
      <c r="C85" s="210">
        <f>1.5*C21</f>
        <v>3</v>
      </c>
      <c r="D85" s="210">
        <f t="shared" ref="D85:K85" si="33">1.5*D21</f>
        <v>3.6642857142857146</v>
      </c>
      <c r="E85" s="210">
        <f t="shared" si="33"/>
        <v>4.08</v>
      </c>
      <c r="F85" s="210">
        <f t="shared" si="33"/>
        <v>4.3499999999999996</v>
      </c>
      <c r="G85" s="210">
        <f t="shared" si="33"/>
        <v>5.0999999999999996</v>
      </c>
      <c r="H85" s="210">
        <f t="shared" si="33"/>
        <v>5.0999999999999996</v>
      </c>
      <c r="I85" s="210">
        <f t="shared" si="33"/>
        <v>6.2999999999999989</v>
      </c>
      <c r="J85" s="210">
        <f t="shared" si="33"/>
        <v>6.2999999999999989</v>
      </c>
      <c r="K85" s="210">
        <f t="shared" si="33"/>
        <v>6.2999999999999989</v>
      </c>
    </row>
    <row r="86" spans="1:12" ht="30">
      <c r="A86" s="79" t="s">
        <v>1061</v>
      </c>
      <c r="B86" s="66" t="s">
        <v>152</v>
      </c>
      <c r="C86" s="210">
        <f>18.3+C51+0.5*C50+C53+C56</f>
        <v>19.081</v>
      </c>
      <c r="D86" s="210">
        <f t="shared" ref="D86:K86" si="34">18.3+D51+0.5*D50+D53+D56</f>
        <v>19.081</v>
      </c>
      <c r="E86" s="210">
        <f t="shared" si="34"/>
        <v>19.081</v>
      </c>
      <c r="F86" s="210">
        <f t="shared" si="34"/>
        <v>19.081</v>
      </c>
      <c r="G86" s="210">
        <f t="shared" si="34"/>
        <v>19.081</v>
      </c>
      <c r="H86" s="210">
        <f t="shared" si="34"/>
        <v>19.081</v>
      </c>
      <c r="I86" s="210">
        <f t="shared" si="34"/>
        <v>19.081</v>
      </c>
      <c r="J86" s="210">
        <f t="shared" si="34"/>
        <v>19.081</v>
      </c>
      <c r="K86" s="210">
        <f t="shared" si="34"/>
        <v>19.081</v>
      </c>
    </row>
    <row r="87" spans="1:12">
      <c r="A87" s="79"/>
      <c r="B87" s="66"/>
      <c r="C87" s="218"/>
      <c r="D87" s="218"/>
      <c r="E87" s="218"/>
      <c r="F87" s="218"/>
      <c r="G87" s="218"/>
      <c r="H87" s="218"/>
      <c r="I87" s="218"/>
      <c r="J87" s="218"/>
      <c r="K87" s="218"/>
      <c r="L87" s="66"/>
    </row>
    <row r="88" spans="1:12">
      <c r="A88" s="232" t="s">
        <v>1067</v>
      </c>
      <c r="B88" s="235" t="s">
        <v>152</v>
      </c>
      <c r="C88" s="236">
        <f>MAX(C82,C83,C85)</f>
        <v>9.7164092757602116</v>
      </c>
      <c r="D88" s="236">
        <f t="shared" ref="D88:K88" si="35">MAX(D82,D83,D85)</f>
        <v>6.3025357464390561</v>
      </c>
      <c r="E88" s="236">
        <f t="shared" si="35"/>
        <v>5.5147187781341742</v>
      </c>
      <c r="F88" s="236">
        <f t="shared" si="35"/>
        <v>5.2521131220325463</v>
      </c>
      <c r="G88" s="236">
        <f t="shared" si="35"/>
        <v>6.4799999999999995</v>
      </c>
      <c r="H88" s="236">
        <f t="shared" si="35"/>
        <v>6.4799999999999995</v>
      </c>
      <c r="I88" s="236">
        <f t="shared" si="35"/>
        <v>8.8999999999999986</v>
      </c>
      <c r="J88" s="236">
        <f t="shared" si="35"/>
        <v>8.8999999999999986</v>
      </c>
      <c r="K88" s="236">
        <f t="shared" si="35"/>
        <v>8.8999999999999986</v>
      </c>
    </row>
    <row r="89" spans="1:12">
      <c r="A89" s="232" t="s">
        <v>1068</v>
      </c>
      <c r="B89" s="235" t="s">
        <v>152</v>
      </c>
      <c r="C89" s="236">
        <f>MIN(C86,C84)</f>
        <v>17.813417005560389</v>
      </c>
      <c r="D89" s="236">
        <f t="shared" ref="D89:K89" si="36">MIN(D86,D84)</f>
        <v>11.554648868471602</v>
      </c>
      <c r="E89" s="236">
        <f t="shared" si="36"/>
        <v>10.110317759912652</v>
      </c>
      <c r="F89" s="236">
        <f t="shared" si="36"/>
        <v>9.6288740570596687</v>
      </c>
      <c r="G89" s="236">
        <f t="shared" si="36"/>
        <v>10.110317759912652</v>
      </c>
      <c r="H89" s="236">
        <f t="shared" si="36"/>
        <v>10.110317759912652</v>
      </c>
      <c r="I89" s="236">
        <f t="shared" si="36"/>
        <v>10.591761462765637</v>
      </c>
      <c r="J89" s="236">
        <f t="shared" si="36"/>
        <v>11.073205165618619</v>
      </c>
      <c r="K89" s="236">
        <f t="shared" si="36"/>
        <v>11.073205165618619</v>
      </c>
    </row>
    <row r="90" spans="1:12">
      <c r="A90" s="79"/>
      <c r="B90" s="66"/>
      <c r="C90" s="218"/>
      <c r="D90" s="218"/>
      <c r="E90" s="218"/>
      <c r="F90" s="218"/>
      <c r="G90" s="218"/>
      <c r="H90" s="218"/>
      <c r="I90" s="218"/>
      <c r="J90" s="218"/>
      <c r="K90" s="218"/>
    </row>
    <row r="91" spans="1:12">
      <c r="A91" s="79" t="s">
        <v>1069</v>
      </c>
      <c r="B91" s="66"/>
      <c r="C91" s="210">
        <f>C88/C80</f>
        <v>1.5</v>
      </c>
      <c r="D91" s="210">
        <f t="shared" ref="D91:K91" si="37">D88/D80</f>
        <v>1.5</v>
      </c>
      <c r="E91" s="210">
        <f t="shared" si="37"/>
        <v>1.5000000000000002</v>
      </c>
      <c r="F91" s="210">
        <f t="shared" si="37"/>
        <v>1.5</v>
      </c>
      <c r="G91" s="210">
        <f t="shared" si="37"/>
        <v>1.76255587837765</v>
      </c>
      <c r="H91" s="210">
        <f t="shared" si="37"/>
        <v>1.76255587837765</v>
      </c>
      <c r="I91" s="210">
        <f t="shared" si="37"/>
        <v>2.310758232805715</v>
      </c>
      <c r="J91" s="210">
        <f t="shared" si="37"/>
        <v>2.2102904835532926</v>
      </c>
      <c r="K91" s="210">
        <f t="shared" si="37"/>
        <v>2.2102904835532926</v>
      </c>
    </row>
    <row r="92" spans="1:12">
      <c r="A92" s="79" t="s">
        <v>1070</v>
      </c>
      <c r="B92" s="66"/>
      <c r="C92" s="210">
        <f>C89/C80</f>
        <v>2.75</v>
      </c>
      <c r="D92" s="210">
        <f t="shared" ref="D92:K92" si="38">D89/D80</f>
        <v>2.75</v>
      </c>
      <c r="E92" s="210">
        <f t="shared" si="38"/>
        <v>2.75</v>
      </c>
      <c r="F92" s="210">
        <f t="shared" si="38"/>
        <v>2.75</v>
      </c>
      <c r="G92" s="210">
        <f t="shared" si="38"/>
        <v>2.75</v>
      </c>
      <c r="H92" s="210">
        <f t="shared" si="38"/>
        <v>2.75</v>
      </c>
      <c r="I92" s="210">
        <f t="shared" si="38"/>
        <v>2.75</v>
      </c>
      <c r="J92" s="210">
        <f t="shared" si="38"/>
        <v>2.75</v>
      </c>
      <c r="K92" s="210">
        <f t="shared" si="38"/>
        <v>2.75</v>
      </c>
    </row>
    <row r="93" spans="1:12">
      <c r="A93" s="79"/>
      <c r="B93" s="66"/>
      <c r="C93" s="218"/>
      <c r="D93" s="218"/>
      <c r="E93" s="218"/>
      <c r="F93" s="218"/>
      <c r="G93" s="218"/>
      <c r="H93" s="218"/>
      <c r="I93" s="218"/>
      <c r="J93" s="218"/>
      <c r="K93" s="218"/>
    </row>
    <row r="94" spans="1:12">
      <c r="A94" s="79" t="s">
        <v>1071</v>
      </c>
      <c r="B94" s="66" t="s">
        <v>152</v>
      </c>
      <c r="C94" s="210">
        <f>C88-C56-C50*0.5-C51-C53</f>
        <v>8.935409275760211</v>
      </c>
      <c r="D94" s="210">
        <f t="shared" ref="D94:K94" si="39">D88-D56-D50*0.5-D51-D53</f>
        <v>5.5215357464390555</v>
      </c>
      <c r="E94" s="210">
        <f t="shared" si="39"/>
        <v>4.7337187781341736</v>
      </c>
      <c r="F94" s="210">
        <f t="shared" si="39"/>
        <v>4.4711131220325457</v>
      </c>
      <c r="G94" s="210">
        <f t="shared" si="39"/>
        <v>5.698999999999999</v>
      </c>
      <c r="H94" s="210">
        <f t="shared" si="39"/>
        <v>5.698999999999999</v>
      </c>
      <c r="I94" s="210">
        <f t="shared" si="39"/>
        <v>8.118999999999998</v>
      </c>
      <c r="J94" s="210">
        <f t="shared" si="39"/>
        <v>8.118999999999998</v>
      </c>
      <c r="K94" s="210">
        <f t="shared" si="39"/>
        <v>8.118999999999998</v>
      </c>
    </row>
    <row r="95" spans="1:12">
      <c r="A95" s="79" t="s">
        <v>1072</v>
      </c>
      <c r="B95" s="66" t="s">
        <v>152</v>
      </c>
      <c r="C95" s="210">
        <f>C89-C56-C50*0.5-C51-C53</f>
        <v>17.03241700556039</v>
      </c>
      <c r="D95" s="210">
        <f t="shared" ref="D95:K95" si="40">D89-D56-D50*0.5-D51-D53</f>
        <v>10.773648868471602</v>
      </c>
      <c r="E95" s="210">
        <f t="shared" si="40"/>
        <v>9.3293177599126516</v>
      </c>
      <c r="F95" s="210">
        <f t="shared" si="40"/>
        <v>8.8478740570596681</v>
      </c>
      <c r="G95" s="210">
        <f t="shared" si="40"/>
        <v>9.3293177599126516</v>
      </c>
      <c r="H95" s="210">
        <f t="shared" si="40"/>
        <v>9.3293177599126516</v>
      </c>
      <c r="I95" s="210">
        <f t="shared" si="40"/>
        <v>9.8107614627656368</v>
      </c>
      <c r="J95" s="210">
        <f t="shared" si="40"/>
        <v>10.292205165618618</v>
      </c>
      <c r="K95" s="210">
        <f t="shared" si="40"/>
        <v>10.292205165618618</v>
      </c>
    </row>
    <row r="96" spans="1:12">
      <c r="A96" s="79"/>
      <c r="B96" s="66"/>
      <c r="C96" s="218"/>
      <c r="D96" s="218"/>
      <c r="E96" s="218"/>
      <c r="F96" s="218"/>
      <c r="G96" s="218"/>
      <c r="H96" s="218"/>
      <c r="I96" s="218"/>
      <c r="J96" s="218"/>
      <c r="K96" s="218"/>
    </row>
    <row r="97" spans="1:11">
      <c r="A97" s="79" t="s">
        <v>1073</v>
      </c>
      <c r="B97" s="66" t="s">
        <v>352</v>
      </c>
      <c r="C97" s="177">
        <f>PI()*C50*C78*(C94+PI()*C56*0.5)</f>
        <v>222.12621793387063</v>
      </c>
      <c r="D97" s="177">
        <f t="shared" ref="D97:K97" si="41">PI()*D50*D78*(D94+PI()*D56*0.5)</f>
        <v>91.572271092240385</v>
      </c>
      <c r="E97" s="177">
        <f t="shared" si="41"/>
        <v>69.522837205710331</v>
      </c>
      <c r="F97" s="177">
        <f t="shared" si="41"/>
        <v>62.846225910200317</v>
      </c>
      <c r="G97" s="177">
        <f t="shared" si="41"/>
        <v>82.514154579012128</v>
      </c>
      <c r="H97" s="177">
        <f t="shared" si="41"/>
        <v>82.514154579012128</v>
      </c>
      <c r="I97" s="177">
        <f t="shared" si="41"/>
        <v>120.56411218208817</v>
      </c>
      <c r="J97" s="177">
        <f t="shared" si="41"/>
        <v>126.0442990994558</v>
      </c>
      <c r="K97" s="177">
        <f t="shared" si="41"/>
        <v>126.0442990994558</v>
      </c>
    </row>
    <row r="98" spans="1:11">
      <c r="A98" s="79" t="s">
        <v>1074</v>
      </c>
      <c r="B98" s="66" t="s">
        <v>352</v>
      </c>
      <c r="C98" s="177">
        <f>PI()*C50*C78*(C95+PI()*C56*0.5)</f>
        <v>414.1284679338707</v>
      </c>
      <c r="D98" s="177">
        <f t="shared" ref="D98:K98" si="42">PI()*D50*D78*(D95+PI()*D56*0.5)</f>
        <v>172.35627109224038</v>
      </c>
      <c r="E98" s="177">
        <f t="shared" si="42"/>
        <v>131.37308720571033</v>
      </c>
      <c r="F98" s="177">
        <f t="shared" si="42"/>
        <v>118.94622591020034</v>
      </c>
      <c r="G98" s="177">
        <f t="shared" si="42"/>
        <v>131.37308720571033</v>
      </c>
      <c r="H98" s="177">
        <f t="shared" si="42"/>
        <v>131.37308720571033</v>
      </c>
      <c r="I98" s="177">
        <f t="shared" si="42"/>
        <v>144.41704850122039</v>
      </c>
      <c r="J98" s="177">
        <f t="shared" si="42"/>
        <v>158.07810979673039</v>
      </c>
      <c r="K98" s="177">
        <f t="shared" si="42"/>
        <v>158.07810979673039</v>
      </c>
    </row>
    <row r="99" spans="1:11">
      <c r="A99" s="79"/>
      <c r="B99" s="66"/>
      <c r="C99" s="177"/>
      <c r="D99" s="177"/>
      <c r="E99" s="177"/>
      <c r="F99" s="177"/>
      <c r="G99" s="177"/>
      <c r="H99" s="177"/>
      <c r="I99" s="177"/>
      <c r="J99" s="177"/>
      <c r="K99" s="177"/>
    </row>
    <row r="100" spans="1:11">
      <c r="A100" s="83" t="s">
        <v>1066</v>
      </c>
      <c r="B100" s="66" t="s">
        <v>502</v>
      </c>
      <c r="C100" s="177">
        <f>(C97-MIN(C97:K97))*100/MIN(C97:K97)</f>
        <v>253.44400513606377</v>
      </c>
      <c r="D100" s="177">
        <f>(D97-MIN(C97:K97))*100/MIN(C97:K97)</f>
        <v>45.708465012817349</v>
      </c>
      <c r="E100" s="177">
        <f>(E97-MIN(C97:K97))*100/MIN(C97:K97)</f>
        <v>10.623726721553792</v>
      </c>
      <c r="F100" s="177">
        <f>(F97-MIN(C97:K97))*100/MIN(C97:K97)</f>
        <v>0</v>
      </c>
      <c r="G100" s="177">
        <f>(G97-MIN(C97:K97))*100/MIN(C97:K97)</f>
        <v>31.295321849421651</v>
      </c>
      <c r="H100" s="177">
        <f>(H97-MIN(C97:K97))*100/MIN(C97:K97)</f>
        <v>31.295321849421651</v>
      </c>
      <c r="I100" s="177">
        <f>(I97-MIN(C97:K97))*100/MIN(C97:K97)</f>
        <v>91.839860605726344</v>
      </c>
      <c r="J100" s="177">
        <f>(J97-MIN(C97:K97))*100/MIN(C97:K97)</f>
        <v>100.55985426962299</v>
      </c>
      <c r="K100" s="177">
        <f>(K97-MIN(C97:K97))*100/MIN(C97:K97)</f>
        <v>100.55985426962299</v>
      </c>
    </row>
    <row r="101" spans="1:11">
      <c r="A101" s="83" t="s">
        <v>1066</v>
      </c>
      <c r="B101" s="66" t="s">
        <v>502</v>
      </c>
      <c r="C101" s="177">
        <f>(C98-MIN(C98:K98))*100/MIN(C98:K98)</f>
        <v>248.1644455424094</v>
      </c>
      <c r="D101" s="177">
        <f>(D98-MIN(C98:K98))*100/MIN(C98:K98)</f>
        <v>44.902681672609347</v>
      </c>
      <c r="E101" s="177">
        <f>(E98-MIN(C98:K98))*100/MIN(C98:K98)</f>
        <v>10.447461615883281</v>
      </c>
      <c r="F101" s="177">
        <f>(F98-MIN(C98:K98))*100/MIN(C98:K98)</f>
        <v>0</v>
      </c>
      <c r="G101" s="177">
        <f>(G98-MIN(C98:K98))*100/MIN(C98:K98)</f>
        <v>10.447461615883281</v>
      </c>
      <c r="H101" s="177">
        <f>(H98-MIN(C98:K98))*100/MIN(C98:K98)</f>
        <v>10.447461615883281</v>
      </c>
      <c r="I101" s="177">
        <f>(I98-MIN(C98:K98))*100/MIN(C98:K98)</f>
        <v>21.413729099945975</v>
      </c>
      <c r="J101" s="177">
        <f>(J98-MIN(C98:K98))*100/MIN(C98:K98)</f>
        <v>32.898802452187986</v>
      </c>
      <c r="K101" s="177">
        <f>(K98-MIN(C98:K98))*100/MIN(C98:K98)</f>
        <v>32.898802452187986</v>
      </c>
    </row>
    <row r="102" spans="1:11">
      <c r="A102" s="83"/>
      <c r="B102" s="66"/>
      <c r="C102" s="177"/>
      <c r="D102" s="177"/>
      <c r="E102" s="177"/>
      <c r="F102" s="177"/>
      <c r="G102" s="177"/>
      <c r="H102" s="177"/>
      <c r="I102" s="177"/>
      <c r="J102" s="177"/>
      <c r="K102" s="177"/>
    </row>
    <row r="103" spans="1:11" ht="30">
      <c r="A103" s="238" t="s">
        <v>1077</v>
      </c>
      <c r="B103" s="66" t="s">
        <v>132</v>
      </c>
      <c r="C103" s="9">
        <f t="shared" ref="C103:K103" si="43">ВыбГор_QFH*0.6*1000/C97</f>
        <v>16.207001737506548</v>
      </c>
      <c r="D103" s="9">
        <f t="shared" si="43"/>
        <v>39.313210834027842</v>
      </c>
      <c r="E103" s="9">
        <f t="shared" si="43"/>
        <v>51.781546103304166</v>
      </c>
      <c r="F103" s="9">
        <f t="shared" si="43"/>
        <v>57.282676053514585</v>
      </c>
      <c r="G103" s="9">
        <f t="shared" si="43"/>
        <v>43.628878201167161</v>
      </c>
      <c r="H103" s="9">
        <f t="shared" si="43"/>
        <v>43.628878201167161</v>
      </c>
      <c r="I103" s="9">
        <f t="shared" si="43"/>
        <v>29.859631816165276</v>
      </c>
      <c r="J103" s="9">
        <f t="shared" si="43"/>
        <v>28.561386954592876</v>
      </c>
      <c r="K103" s="9">
        <f t="shared" si="43"/>
        <v>28.561386954592876</v>
      </c>
    </row>
    <row r="104" spans="1:11" ht="30">
      <c r="A104" s="238" t="s">
        <v>1078</v>
      </c>
      <c r="B104" s="66" t="s">
        <v>132</v>
      </c>
      <c r="C104" s="9">
        <f t="shared" ref="C104:K104" si="44">ВыбГор_QFH*0.6*1000/C98</f>
        <v>8.6929546716765635</v>
      </c>
      <c r="D104" s="9">
        <f t="shared" si="44"/>
        <v>20.886968470519868</v>
      </c>
      <c r="E104" s="9">
        <f t="shared" si="44"/>
        <v>27.402872814908775</v>
      </c>
      <c r="F104" s="9">
        <f t="shared" si="44"/>
        <v>30.265777433895686</v>
      </c>
      <c r="G104" s="9">
        <f t="shared" si="44"/>
        <v>27.402872814908775</v>
      </c>
      <c r="H104" s="9">
        <f t="shared" si="44"/>
        <v>27.402872814908775</v>
      </c>
      <c r="I104" s="9">
        <f t="shared" si="44"/>
        <v>24.927804835795254</v>
      </c>
      <c r="J104" s="9">
        <f t="shared" si="44"/>
        <v>22.7735516614487</v>
      </c>
      <c r="K104" s="9">
        <f t="shared" si="44"/>
        <v>22.7735516614487</v>
      </c>
    </row>
    <row r="105" spans="1:11">
      <c r="A105" s="238"/>
      <c r="B105" s="66"/>
    </row>
    <row r="106" spans="1:11">
      <c r="A106" s="83"/>
      <c r="B106" s="66"/>
      <c r="C106" s="218"/>
      <c r="D106" s="218"/>
      <c r="E106" s="218"/>
      <c r="F106" s="218"/>
      <c r="G106" s="218"/>
      <c r="H106" s="218"/>
      <c r="I106" s="218"/>
      <c r="J106" s="218"/>
      <c r="K106" s="218"/>
    </row>
    <row r="107" spans="1:11">
      <c r="A107" s="233" t="s">
        <v>1062</v>
      </c>
      <c r="B107" s="235" t="s">
        <v>152</v>
      </c>
      <c r="C107" s="237">
        <v>8.9</v>
      </c>
      <c r="D107" s="237">
        <v>9.1</v>
      </c>
      <c r="E107" s="237">
        <v>9.1449999999999996</v>
      </c>
      <c r="F107" s="237">
        <v>9.1999999999999993</v>
      </c>
      <c r="G107" s="237">
        <v>8.8000000000000007</v>
      </c>
      <c r="H107" s="237">
        <v>8.8000000000000007</v>
      </c>
      <c r="I107" s="237">
        <v>8.9</v>
      </c>
      <c r="J107" s="237">
        <v>8.9</v>
      </c>
      <c r="K107" s="237">
        <v>8.9</v>
      </c>
    </row>
    <row r="108" spans="1:11">
      <c r="A108" s="83"/>
      <c r="B108" s="66"/>
      <c r="C108" s="218"/>
      <c r="D108" s="218"/>
      <c r="E108" s="218"/>
      <c r="F108" s="218"/>
      <c r="G108" s="218"/>
      <c r="H108" s="218"/>
      <c r="I108" s="218"/>
      <c r="J108" s="218"/>
      <c r="K108" s="218"/>
    </row>
    <row r="109" spans="1:11">
      <c r="A109" s="83" t="s">
        <v>1063</v>
      </c>
      <c r="B109" s="66"/>
      <c r="C109" s="218">
        <f t="shared" ref="C109:K109" si="45">C107/C80</f>
        <v>1.3739643546412361</v>
      </c>
      <c r="D109" s="218">
        <f t="shared" si="45"/>
        <v>2.1657949354293269</v>
      </c>
      <c r="E109" s="218">
        <f t="shared" si="45"/>
        <v>2.4874341832968532</v>
      </c>
      <c r="F109" s="218">
        <f t="shared" si="45"/>
        <v>2.6275138557296449</v>
      </c>
      <c r="G109" s="218">
        <f t="shared" si="45"/>
        <v>2.3935944027350806</v>
      </c>
      <c r="H109" s="218">
        <f t="shared" si="45"/>
        <v>2.3935944027350806</v>
      </c>
      <c r="I109" s="218">
        <f t="shared" si="45"/>
        <v>2.3107582328057155</v>
      </c>
      <c r="J109" s="218">
        <f t="shared" si="45"/>
        <v>2.2102904835532931</v>
      </c>
      <c r="K109" s="218">
        <f t="shared" si="45"/>
        <v>2.2102904835532931</v>
      </c>
    </row>
    <row r="110" spans="1:11">
      <c r="A110" s="83"/>
      <c r="B110" s="66"/>
      <c r="C110" s="218"/>
      <c r="D110" s="218"/>
      <c r="E110" s="218"/>
      <c r="F110" s="218"/>
      <c r="G110" s="218"/>
      <c r="H110" s="218"/>
      <c r="I110" s="218"/>
      <c r="J110" s="218"/>
      <c r="K110" s="218"/>
    </row>
    <row r="111" spans="1:11" ht="30">
      <c r="A111" s="79" t="s">
        <v>1064</v>
      </c>
      <c r="B111" s="66" t="s">
        <v>152</v>
      </c>
      <c r="C111" s="210">
        <f t="shared" ref="C111:K111" si="46">C107-C56-C50*0.5-C51-C53</f>
        <v>8.1189999999999998</v>
      </c>
      <c r="D111" s="210">
        <f t="shared" si="46"/>
        <v>8.3189999999999991</v>
      </c>
      <c r="E111" s="210">
        <f t="shared" si="46"/>
        <v>8.363999999999999</v>
      </c>
      <c r="F111" s="210">
        <f t="shared" si="46"/>
        <v>8.4189999999999987</v>
      </c>
      <c r="G111" s="210">
        <f t="shared" si="46"/>
        <v>8.0190000000000001</v>
      </c>
      <c r="H111" s="210">
        <f t="shared" si="46"/>
        <v>8.0190000000000001</v>
      </c>
      <c r="I111" s="210">
        <f t="shared" si="46"/>
        <v>8.1189999999999998</v>
      </c>
      <c r="J111" s="210">
        <f t="shared" si="46"/>
        <v>8.1189999999999998</v>
      </c>
      <c r="K111" s="210">
        <f t="shared" si="46"/>
        <v>8.1189999999999998</v>
      </c>
    </row>
    <row r="112" spans="1:11">
      <c r="A112" s="83"/>
      <c r="B112" s="66"/>
      <c r="C112" s="218"/>
      <c r="D112" s="218"/>
      <c r="E112" s="218"/>
      <c r="F112" s="218"/>
      <c r="G112" s="218"/>
      <c r="H112" s="218"/>
      <c r="I112" s="218"/>
      <c r="J112" s="218"/>
      <c r="K112" s="218"/>
    </row>
    <row r="113" spans="1:11">
      <c r="A113" s="83" t="s">
        <v>1065</v>
      </c>
      <c r="B113" s="66" t="s">
        <v>352</v>
      </c>
      <c r="C113" s="177">
        <f t="shared" ref="C113:K113" si="47">PI()*C50*C78*(C111+PI()*C56*0.5)</f>
        <v>202.76691594260285</v>
      </c>
      <c r="D113" s="177">
        <f t="shared" si="47"/>
        <v>134.60073354321858</v>
      </c>
      <c r="E113" s="177">
        <f t="shared" si="47"/>
        <v>118.38127808207531</v>
      </c>
      <c r="F113" s="177">
        <f t="shared" si="47"/>
        <v>113.4490477553468</v>
      </c>
      <c r="G113" s="177">
        <f t="shared" si="47"/>
        <v>113.73806697192268</v>
      </c>
      <c r="H113" s="177">
        <f t="shared" si="47"/>
        <v>113.73806697192268</v>
      </c>
      <c r="I113" s="177">
        <f t="shared" si="47"/>
        <v>120.56411218208819</v>
      </c>
      <c r="J113" s="177">
        <f t="shared" si="47"/>
        <v>126.04429909945583</v>
      </c>
      <c r="K113" s="177">
        <f t="shared" si="47"/>
        <v>126.04429909945583</v>
      </c>
    </row>
    <row r="114" spans="1:11">
      <c r="A114" s="83"/>
      <c r="B114" s="66"/>
      <c r="C114" s="218"/>
      <c r="D114" s="218"/>
      <c r="E114" s="218"/>
      <c r="F114" s="218"/>
      <c r="G114" s="218"/>
      <c r="H114" s="218"/>
      <c r="I114" s="218"/>
      <c r="J114" s="218"/>
      <c r="K114" s="218"/>
    </row>
    <row r="115" spans="1:11">
      <c r="A115" s="83" t="s">
        <v>1066</v>
      </c>
      <c r="B115" s="66" t="s">
        <v>502</v>
      </c>
      <c r="C115" s="177">
        <f>(C113-MIN(C113:K113))*100/MIN(C113:K113)</f>
        <v>78.729500118740788</v>
      </c>
      <c r="D115" s="177">
        <f>(D113-MIN(C113:K113))*100/MIN(C113:K113)</f>
        <v>18.64421624188989</v>
      </c>
      <c r="E115" s="177">
        <f>(E113-MIN(C113:K113))*100/MIN(C113:K113)</f>
        <v>4.3475290664095168</v>
      </c>
      <c r="F115" s="177">
        <f>(F113-MIN(C113:K113))*100/MIN(C113:K113)</f>
        <v>0</v>
      </c>
      <c r="G115" s="177">
        <f>(G113-MIN(C113:K113))*100/MIN(C113:K113)</f>
        <v>0.25475684661465936</v>
      </c>
      <c r="H115" s="177">
        <f>(H113-MIN(C113:K113))*100/MIN(C113:K113)</f>
        <v>0.25475684661465936</v>
      </c>
      <c r="I115" s="177">
        <f>(I113-MIN(C113:K113))*100/MIN(C113:K113)</f>
        <v>6.2715946651972398</v>
      </c>
      <c r="J115" s="177">
        <f>(J113-MIN(C113:K113))*100/MIN(C113:K113)</f>
        <v>11.102121695433466</v>
      </c>
      <c r="K115" s="177">
        <f>(K113-MIN(C113:K113))*100/MIN(C113:K113)</f>
        <v>11.102121695433466</v>
      </c>
    </row>
    <row r="116" spans="1:11">
      <c r="A116" s="83"/>
      <c r="B116" s="66"/>
      <c r="C116" s="177"/>
      <c r="D116" s="177"/>
      <c r="E116" s="177"/>
      <c r="F116" s="177"/>
      <c r="G116" s="177"/>
      <c r="H116" s="177"/>
      <c r="I116" s="177"/>
      <c r="J116" s="177"/>
      <c r="K116" s="177"/>
    </row>
    <row r="117" spans="1:11" ht="30">
      <c r="A117" s="238" t="s">
        <v>1075</v>
      </c>
      <c r="B117" s="66" t="s">
        <v>132</v>
      </c>
      <c r="C117" s="9">
        <f t="shared" ref="C117:K117" si="48">ВыбГор_QFH*0.6*1000/C113</f>
        <v>17.754375674476648</v>
      </c>
      <c r="D117" s="9">
        <f t="shared" si="48"/>
        <v>26.74576805960783</v>
      </c>
      <c r="E117" s="9">
        <f t="shared" si="48"/>
        <v>30.410213999413589</v>
      </c>
      <c r="F117" s="9">
        <f t="shared" si="48"/>
        <v>31.732306892195428</v>
      </c>
      <c r="G117" s="9">
        <f t="shared" si="48"/>
        <v>31.651672090476918</v>
      </c>
      <c r="H117" s="9">
        <f t="shared" si="48"/>
        <v>31.651672090476918</v>
      </c>
      <c r="I117" s="9">
        <f t="shared" si="48"/>
        <v>29.859631816165269</v>
      </c>
      <c r="J117" s="9">
        <f t="shared" si="48"/>
        <v>28.561386954592869</v>
      </c>
      <c r="K117" s="9">
        <f t="shared" si="48"/>
        <v>28.561386954592869</v>
      </c>
    </row>
    <row r="118" spans="1:11">
      <c r="A118" s="40"/>
      <c r="B118" s="66"/>
    </row>
    <row r="119" spans="1:11">
      <c r="A119" s="43" t="s">
        <v>1024</v>
      </c>
    </row>
    <row r="120" spans="1:11">
      <c r="A120" s="83" t="s">
        <v>1025</v>
      </c>
      <c r="B120" s="66" t="s">
        <v>152</v>
      </c>
      <c r="C120" s="213">
        <v>0.219</v>
      </c>
      <c r="D120" s="214">
        <f>C120</f>
        <v>0.219</v>
      </c>
      <c r="E120" s="214">
        <f>C120</f>
        <v>0.219</v>
      </c>
      <c r="F120" s="214">
        <f>C120</f>
        <v>0.219</v>
      </c>
      <c r="G120" s="214">
        <f>C120</f>
        <v>0.219</v>
      </c>
      <c r="H120" s="214">
        <f>C120</f>
        <v>0.219</v>
      </c>
      <c r="I120" s="214">
        <f>C120</f>
        <v>0.219</v>
      </c>
      <c r="J120" s="214">
        <f>C120</f>
        <v>0.219</v>
      </c>
      <c r="K120" s="214">
        <f>C120</f>
        <v>0.219</v>
      </c>
    </row>
    <row r="121" spans="1:11">
      <c r="A121" s="83" t="s">
        <v>1026</v>
      </c>
      <c r="B121" s="66" t="s">
        <v>152</v>
      </c>
      <c r="C121" s="213">
        <v>0.3</v>
      </c>
      <c r="D121" s="214">
        <f>C121</f>
        <v>0.3</v>
      </c>
      <c r="E121" s="214">
        <f>C121</f>
        <v>0.3</v>
      </c>
      <c r="F121" s="214">
        <f>C121</f>
        <v>0.3</v>
      </c>
      <c r="G121" s="214">
        <f>C121</f>
        <v>0.3</v>
      </c>
      <c r="H121" s="214">
        <f>C121</f>
        <v>0.3</v>
      </c>
      <c r="I121" s="214">
        <f>C121</f>
        <v>0.3</v>
      </c>
      <c r="J121" s="214">
        <f>C121</f>
        <v>0.3</v>
      </c>
      <c r="K121" s="214">
        <f>C121</f>
        <v>0.3</v>
      </c>
    </row>
    <row r="122" spans="1:11">
      <c r="A122" s="83" t="s">
        <v>1027</v>
      </c>
      <c r="B122" s="66" t="s">
        <v>152</v>
      </c>
      <c r="C122" s="210">
        <f t="shared" ref="C122:K122" si="49">MAX(0.1,1.5*C120)</f>
        <v>0.32850000000000001</v>
      </c>
      <c r="D122" s="210">
        <f t="shared" si="49"/>
        <v>0.32850000000000001</v>
      </c>
      <c r="E122" s="210">
        <f t="shared" si="49"/>
        <v>0.32850000000000001</v>
      </c>
      <c r="F122" s="210">
        <f t="shared" si="49"/>
        <v>0.32850000000000001</v>
      </c>
      <c r="G122" s="210">
        <f t="shared" si="49"/>
        <v>0.32850000000000001</v>
      </c>
      <c r="H122" s="210">
        <f t="shared" si="49"/>
        <v>0.32850000000000001</v>
      </c>
      <c r="I122" s="210">
        <f t="shared" si="49"/>
        <v>0.32850000000000001</v>
      </c>
      <c r="J122" s="210">
        <f t="shared" si="49"/>
        <v>0.32850000000000001</v>
      </c>
      <c r="K122" s="210">
        <f t="shared" si="49"/>
        <v>0.32850000000000001</v>
      </c>
    </row>
    <row r="123" spans="1:11">
      <c r="A123" s="83" t="s">
        <v>1028</v>
      </c>
      <c r="B123" s="66" t="s">
        <v>152</v>
      </c>
      <c r="C123" s="213">
        <v>0.33</v>
      </c>
      <c r="D123" s="214">
        <f>C123</f>
        <v>0.33</v>
      </c>
      <c r="E123" s="214">
        <f>C123</f>
        <v>0.33</v>
      </c>
      <c r="F123" s="214">
        <f>C123</f>
        <v>0.33</v>
      </c>
      <c r="G123" s="214">
        <f>C123</f>
        <v>0.33</v>
      </c>
      <c r="H123" s="214">
        <f>C123</f>
        <v>0.33</v>
      </c>
      <c r="I123" s="214">
        <f>C123</f>
        <v>0.33</v>
      </c>
      <c r="J123" s="214">
        <f>C123</f>
        <v>0.33</v>
      </c>
      <c r="K123" s="214">
        <f>C123</f>
        <v>0.33</v>
      </c>
    </row>
    <row r="124" spans="1:11">
      <c r="A124" s="83" t="s">
        <v>1029</v>
      </c>
      <c r="B124" s="66" t="s">
        <v>152</v>
      </c>
      <c r="C124" s="211">
        <f t="shared" ref="C124:K124" si="50">MAX(0.1,1.5*C120)</f>
        <v>0.32850000000000001</v>
      </c>
      <c r="D124" s="211">
        <f t="shared" si="50"/>
        <v>0.32850000000000001</v>
      </c>
      <c r="E124" s="211">
        <f t="shared" si="50"/>
        <v>0.32850000000000001</v>
      </c>
      <c r="F124" s="211">
        <f t="shared" si="50"/>
        <v>0.32850000000000001</v>
      </c>
      <c r="G124" s="211">
        <f t="shared" si="50"/>
        <v>0.32850000000000001</v>
      </c>
      <c r="H124" s="211">
        <f t="shared" si="50"/>
        <v>0.32850000000000001</v>
      </c>
      <c r="I124" s="211">
        <f t="shared" si="50"/>
        <v>0.32850000000000001</v>
      </c>
      <c r="J124" s="211">
        <f t="shared" si="50"/>
        <v>0.32850000000000001</v>
      </c>
      <c r="K124" s="211">
        <f t="shared" si="50"/>
        <v>0.32850000000000001</v>
      </c>
    </row>
    <row r="125" spans="1:11">
      <c r="A125" s="83" t="s">
        <v>1030</v>
      </c>
      <c r="B125" s="66" t="s">
        <v>152</v>
      </c>
      <c r="C125" s="213">
        <v>0.33</v>
      </c>
      <c r="D125" s="214">
        <f>C125</f>
        <v>0.33</v>
      </c>
      <c r="E125" s="214">
        <f>C125</f>
        <v>0.33</v>
      </c>
      <c r="F125" s="214">
        <f>C125</f>
        <v>0.33</v>
      </c>
      <c r="G125" s="214">
        <f>C125</f>
        <v>0.33</v>
      </c>
      <c r="H125" s="214">
        <f>C125</f>
        <v>0.33</v>
      </c>
      <c r="I125" s="214">
        <f>C125</f>
        <v>0.33</v>
      </c>
      <c r="J125" s="214">
        <f>C125</f>
        <v>0.33</v>
      </c>
      <c r="K125" s="214">
        <f>C125</f>
        <v>0.33</v>
      </c>
    </row>
    <row r="126" spans="1:11">
      <c r="A126" s="83" t="s">
        <v>967</v>
      </c>
      <c r="B126" s="66" t="s">
        <v>152</v>
      </c>
      <c r="C126" s="213">
        <v>0.4</v>
      </c>
      <c r="D126" s="214">
        <f>C126</f>
        <v>0.4</v>
      </c>
      <c r="E126" s="214">
        <f>C126</f>
        <v>0.4</v>
      </c>
      <c r="F126" s="214">
        <f>C126</f>
        <v>0.4</v>
      </c>
      <c r="G126" s="214">
        <f>C126</f>
        <v>0.4</v>
      </c>
      <c r="H126" s="214">
        <f>C126</f>
        <v>0.4</v>
      </c>
      <c r="I126" s="214">
        <f>C126</f>
        <v>0.4</v>
      </c>
      <c r="J126" s="214">
        <f>C126</f>
        <v>0.4</v>
      </c>
      <c r="K126" s="214">
        <f>C126</f>
        <v>0.4</v>
      </c>
    </row>
    <row r="127" spans="1:11">
      <c r="A127" s="83"/>
      <c r="B127" s="66"/>
      <c r="C127" s="218"/>
      <c r="D127" s="218"/>
      <c r="E127" s="218"/>
      <c r="F127" s="218"/>
      <c r="G127" s="218"/>
      <c r="H127" s="218"/>
      <c r="I127" s="218"/>
      <c r="J127" s="218"/>
      <c r="K127" s="218"/>
    </row>
    <row r="128" spans="1:11">
      <c r="A128" s="233" t="s">
        <v>112</v>
      </c>
      <c r="B128" s="66"/>
      <c r="C128" s="209">
        <v>1</v>
      </c>
      <c r="D128" s="219">
        <f>C128</f>
        <v>1</v>
      </c>
      <c r="E128" s="219">
        <f>C128</f>
        <v>1</v>
      </c>
      <c r="F128" s="219">
        <f>C128</f>
        <v>1</v>
      </c>
      <c r="G128" s="219">
        <f>C128</f>
        <v>1</v>
      </c>
      <c r="H128" s="219">
        <f>C128</f>
        <v>1</v>
      </c>
      <c r="I128" s="219">
        <f>C128</f>
        <v>1</v>
      </c>
      <c r="J128" s="219">
        <f>C128</f>
        <v>1</v>
      </c>
      <c r="K128" s="219">
        <f>C128</f>
        <v>1</v>
      </c>
    </row>
    <row r="129" spans="1:11">
      <c r="A129" s="83"/>
      <c r="B129" s="66"/>
      <c r="C129" s="218"/>
      <c r="D129" s="218"/>
      <c r="E129" s="218"/>
      <c r="F129" s="218"/>
      <c r="G129" s="218"/>
      <c r="H129" s="218"/>
      <c r="I129" s="218"/>
      <c r="J129" s="218"/>
      <c r="K129" s="218"/>
    </row>
    <row r="130" spans="1:11">
      <c r="A130" s="225" t="s">
        <v>1036</v>
      </c>
      <c r="B130" s="66"/>
      <c r="C130" s="127">
        <v>1.5</v>
      </c>
      <c r="D130" s="217">
        <f>C130</f>
        <v>1.5</v>
      </c>
      <c r="E130" s="217">
        <f>C130</f>
        <v>1.5</v>
      </c>
      <c r="F130" s="217">
        <f>C130</f>
        <v>1.5</v>
      </c>
      <c r="G130" s="217">
        <f>C130</f>
        <v>1.5</v>
      </c>
      <c r="H130" s="217">
        <f>C130</f>
        <v>1.5</v>
      </c>
      <c r="I130" s="217">
        <f>C130</f>
        <v>1.5</v>
      </c>
      <c r="J130" s="217">
        <f>C130</f>
        <v>1.5</v>
      </c>
      <c r="K130" s="217">
        <f>C130</f>
        <v>1.5</v>
      </c>
    </row>
    <row r="131" spans="1:11">
      <c r="A131" s="83" t="s">
        <v>1037</v>
      </c>
      <c r="B131" s="66"/>
      <c r="C131" s="127">
        <v>2.75</v>
      </c>
      <c r="D131" s="217">
        <f>C131</f>
        <v>2.75</v>
      </c>
      <c r="E131" s="217">
        <f>C131</f>
        <v>2.75</v>
      </c>
      <c r="F131" s="217">
        <f>C131</f>
        <v>2.75</v>
      </c>
      <c r="G131" s="217">
        <f>C131</f>
        <v>2.75</v>
      </c>
      <c r="H131" s="217">
        <f>C131</f>
        <v>2.75</v>
      </c>
      <c r="I131" s="217">
        <f>C131</f>
        <v>2.75</v>
      </c>
      <c r="J131" s="217">
        <f>C131</f>
        <v>2.75</v>
      </c>
      <c r="K131" s="217">
        <f>C131</f>
        <v>2.75</v>
      </c>
    </row>
    <row r="132" spans="1:11">
      <c r="A132" s="83"/>
      <c r="B132" s="66"/>
      <c r="C132" s="218"/>
      <c r="D132" s="218"/>
      <c r="E132" s="218"/>
      <c r="F132" s="218"/>
      <c r="G132" s="218"/>
      <c r="H132" s="218"/>
      <c r="I132" s="218"/>
      <c r="J132" s="218"/>
      <c r="K132" s="218"/>
    </row>
    <row r="133" spans="1:11">
      <c r="A133" s="228" t="s">
        <v>1042</v>
      </c>
      <c r="B133" s="66"/>
      <c r="C133" s="219">
        <f t="shared" ref="C133:K133" si="51">EVEN(ROUND(PI()*C46/C126,0))</f>
        <v>40</v>
      </c>
      <c r="D133" s="219">
        <f t="shared" si="51"/>
        <v>28</v>
      </c>
      <c r="E133" s="219">
        <f t="shared" si="51"/>
        <v>24</v>
      </c>
      <c r="F133" s="219">
        <f t="shared" si="51"/>
        <v>24</v>
      </c>
      <c r="G133" s="219">
        <f t="shared" si="51"/>
        <v>26</v>
      </c>
      <c r="H133" s="219">
        <f t="shared" si="51"/>
        <v>26</v>
      </c>
      <c r="I133" s="219">
        <f t="shared" si="51"/>
        <v>28</v>
      </c>
      <c r="J133" s="219">
        <f t="shared" si="51"/>
        <v>30</v>
      </c>
      <c r="K133" s="219">
        <f t="shared" si="51"/>
        <v>30</v>
      </c>
    </row>
    <row r="134" spans="1:11">
      <c r="A134" s="228" t="s">
        <v>1043</v>
      </c>
      <c r="B134" s="66"/>
      <c r="C134" s="219">
        <f>EVEN(ROUND(C133/C128,0))</f>
        <v>40</v>
      </c>
      <c r="D134" s="219">
        <f t="shared" ref="D134:K134" si="52">EVEN(ROUND(D133/D128,0))</f>
        <v>28</v>
      </c>
      <c r="E134" s="219">
        <f t="shared" si="52"/>
        <v>24</v>
      </c>
      <c r="F134" s="219">
        <f t="shared" si="52"/>
        <v>24</v>
      </c>
      <c r="G134" s="219">
        <f t="shared" si="52"/>
        <v>26</v>
      </c>
      <c r="H134" s="219">
        <f t="shared" si="52"/>
        <v>26</v>
      </c>
      <c r="I134" s="219">
        <f t="shared" si="52"/>
        <v>28</v>
      </c>
      <c r="J134" s="219">
        <f t="shared" si="52"/>
        <v>30</v>
      </c>
      <c r="K134" s="219">
        <f t="shared" si="52"/>
        <v>30</v>
      </c>
    </row>
    <row r="135" spans="1:11">
      <c r="A135" s="229" t="s">
        <v>1044</v>
      </c>
      <c r="B135" s="66"/>
      <c r="C135" s="219">
        <f t="shared" ref="C135:K135" si="53">EVEN(ROUND(PI()*C47/C126,0))</f>
        <v>50</v>
      </c>
      <c r="D135" s="219">
        <f t="shared" si="53"/>
        <v>34</v>
      </c>
      <c r="E135" s="219">
        <f t="shared" si="53"/>
        <v>28</v>
      </c>
      <c r="F135" s="219">
        <f t="shared" si="53"/>
        <v>28</v>
      </c>
      <c r="G135" s="219">
        <f t="shared" si="53"/>
        <v>28</v>
      </c>
      <c r="H135" s="219">
        <f t="shared" si="53"/>
        <v>28</v>
      </c>
      <c r="I135" s="219">
        <f t="shared" si="53"/>
        <v>30</v>
      </c>
      <c r="J135" s="219">
        <f t="shared" si="53"/>
        <v>32</v>
      </c>
      <c r="K135" s="219">
        <f t="shared" si="53"/>
        <v>32</v>
      </c>
    </row>
    <row r="136" spans="1:11">
      <c r="A136" s="229" t="s">
        <v>1045</v>
      </c>
      <c r="B136" s="66"/>
      <c r="C136" s="219">
        <f>EVEN(ROUND(C135/C128,0))</f>
        <v>50</v>
      </c>
      <c r="D136" s="219">
        <f t="shared" ref="D136:K136" si="54">EVEN(ROUND(D135/D128,0))</f>
        <v>34</v>
      </c>
      <c r="E136" s="219">
        <f t="shared" si="54"/>
        <v>28</v>
      </c>
      <c r="F136" s="219">
        <f t="shared" si="54"/>
        <v>28</v>
      </c>
      <c r="G136" s="219">
        <f t="shared" si="54"/>
        <v>28</v>
      </c>
      <c r="H136" s="219">
        <f t="shared" si="54"/>
        <v>28</v>
      </c>
      <c r="I136" s="219">
        <f t="shared" si="54"/>
        <v>30</v>
      </c>
      <c r="J136" s="219">
        <f t="shared" si="54"/>
        <v>32</v>
      </c>
      <c r="K136" s="219">
        <f t="shared" si="54"/>
        <v>32</v>
      </c>
    </row>
    <row r="137" spans="1:11">
      <c r="A137" s="83"/>
      <c r="B137" s="66"/>
      <c r="C137" s="218"/>
      <c r="D137" s="218"/>
      <c r="E137" s="218"/>
      <c r="F137" s="218"/>
      <c r="G137" s="218"/>
      <c r="H137" s="218"/>
      <c r="I137" s="218"/>
      <c r="J137" s="218"/>
      <c r="K137" s="218"/>
    </row>
    <row r="138" spans="1:11">
      <c r="A138" s="228" t="s">
        <v>1047</v>
      </c>
      <c r="B138" s="66" t="s">
        <v>152</v>
      </c>
      <c r="C138" s="214">
        <f t="shared" ref="C138:K138" si="55">C133*C126/PI()</f>
        <v>5.0929581789406511</v>
      </c>
      <c r="D138" s="214">
        <f t="shared" si="55"/>
        <v>3.5650707252584559</v>
      </c>
      <c r="E138" s="214">
        <f t="shared" si="55"/>
        <v>3.0557749073643912</v>
      </c>
      <c r="F138" s="214">
        <f t="shared" si="55"/>
        <v>3.0557749073643912</v>
      </c>
      <c r="G138" s="214">
        <f t="shared" si="55"/>
        <v>3.3104228163114233</v>
      </c>
      <c r="H138" s="214">
        <f t="shared" si="55"/>
        <v>3.3104228163114233</v>
      </c>
      <c r="I138" s="214">
        <f t="shared" si="55"/>
        <v>3.5650707252584559</v>
      </c>
      <c r="J138" s="214">
        <f t="shared" si="55"/>
        <v>3.8197186342054881</v>
      </c>
      <c r="K138" s="214">
        <f t="shared" si="55"/>
        <v>3.8197186342054881</v>
      </c>
    </row>
    <row r="139" spans="1:11">
      <c r="A139" s="229" t="s">
        <v>1046</v>
      </c>
      <c r="B139" s="66" t="s">
        <v>152</v>
      </c>
      <c r="C139" s="214">
        <f t="shared" ref="C139:K139" si="56">C135*C126/PI()</f>
        <v>6.366197723675814</v>
      </c>
      <c r="D139" s="214">
        <f t="shared" si="56"/>
        <v>4.3290144520995542</v>
      </c>
      <c r="E139" s="214">
        <f t="shared" si="56"/>
        <v>3.5650707252584559</v>
      </c>
      <c r="F139" s="214">
        <f t="shared" si="56"/>
        <v>3.5650707252584559</v>
      </c>
      <c r="G139" s="214">
        <f t="shared" si="56"/>
        <v>3.5650707252584559</v>
      </c>
      <c r="H139" s="214">
        <f t="shared" si="56"/>
        <v>3.5650707252584559</v>
      </c>
      <c r="I139" s="214">
        <f t="shared" si="56"/>
        <v>3.8197186342054881</v>
      </c>
      <c r="J139" s="214">
        <f t="shared" si="56"/>
        <v>4.0743665431525207</v>
      </c>
      <c r="K139" s="214">
        <f t="shared" si="56"/>
        <v>4.0743665431525207</v>
      </c>
    </row>
    <row r="140" spans="1:11">
      <c r="A140" s="83"/>
      <c r="B140" s="66"/>
      <c r="C140" s="218"/>
      <c r="D140" s="218"/>
      <c r="E140" s="218"/>
      <c r="F140" s="218"/>
      <c r="G140" s="218"/>
      <c r="H140" s="218"/>
      <c r="I140" s="218"/>
      <c r="J140" s="218"/>
      <c r="K140" s="218"/>
    </row>
    <row r="141" spans="1:11" ht="45">
      <c r="A141" s="230" t="s">
        <v>1048</v>
      </c>
      <c r="B141" s="216" t="s">
        <v>152</v>
      </c>
      <c r="C141" s="214">
        <f>C130*C138</f>
        <v>7.6394372684109761</v>
      </c>
      <c r="D141" s="214">
        <f t="shared" ref="D141:K141" si="57">D130*D138</f>
        <v>5.3476060878876837</v>
      </c>
      <c r="E141" s="214">
        <f t="shared" si="57"/>
        <v>4.5836623610465868</v>
      </c>
      <c r="F141" s="214">
        <f t="shared" si="57"/>
        <v>4.5836623610465868</v>
      </c>
      <c r="G141" s="214">
        <f t="shared" si="57"/>
        <v>4.9656342244671352</v>
      </c>
      <c r="H141" s="214">
        <f t="shared" si="57"/>
        <v>4.9656342244671352</v>
      </c>
      <c r="I141" s="214">
        <f t="shared" si="57"/>
        <v>5.3476060878876837</v>
      </c>
      <c r="J141" s="214">
        <f t="shared" si="57"/>
        <v>5.7295779513082321</v>
      </c>
      <c r="K141" s="214">
        <f t="shared" si="57"/>
        <v>5.7295779513082321</v>
      </c>
    </row>
    <row r="142" spans="1:11" ht="45">
      <c r="A142" s="231" t="s">
        <v>1049</v>
      </c>
      <c r="B142" s="150" t="s">
        <v>152</v>
      </c>
      <c r="C142" s="214">
        <f>C139*C130</f>
        <v>9.5492965855137211</v>
      </c>
      <c r="D142" s="214">
        <f t="shared" ref="D142:K142" si="58">D139*D130</f>
        <v>6.4935216781493317</v>
      </c>
      <c r="E142" s="214">
        <f t="shared" si="58"/>
        <v>5.3476060878876837</v>
      </c>
      <c r="F142" s="214">
        <f t="shared" si="58"/>
        <v>5.3476060878876837</v>
      </c>
      <c r="G142" s="214">
        <f t="shared" si="58"/>
        <v>5.3476060878876837</v>
      </c>
      <c r="H142" s="214">
        <f t="shared" si="58"/>
        <v>5.3476060878876837</v>
      </c>
      <c r="I142" s="214">
        <f t="shared" si="58"/>
        <v>5.7295779513082321</v>
      </c>
      <c r="J142" s="214">
        <f t="shared" si="58"/>
        <v>6.1115498147287806</v>
      </c>
      <c r="K142" s="214">
        <f t="shared" si="58"/>
        <v>6.1115498147287806</v>
      </c>
    </row>
    <row r="143" spans="1:11">
      <c r="A143" s="83"/>
      <c r="B143" s="66"/>
      <c r="C143" s="218"/>
      <c r="D143" s="218"/>
      <c r="E143" s="218"/>
      <c r="F143" s="218"/>
      <c r="G143" s="218"/>
      <c r="H143" s="218"/>
      <c r="I143" s="218"/>
      <c r="J143" s="218"/>
      <c r="K143" s="218"/>
    </row>
    <row r="144" spans="1:11" ht="45">
      <c r="A144" s="230" t="s">
        <v>1050</v>
      </c>
      <c r="B144" s="150" t="s">
        <v>152</v>
      </c>
      <c r="C144" s="214">
        <f>C138*C131</f>
        <v>14.00563499208679</v>
      </c>
      <c r="D144" s="214">
        <f t="shared" ref="D144:K144" si="59">D138*D131</f>
        <v>9.8039444944607546</v>
      </c>
      <c r="E144" s="214">
        <f t="shared" si="59"/>
        <v>8.4033809952520748</v>
      </c>
      <c r="F144" s="214">
        <f t="shared" si="59"/>
        <v>8.4033809952520748</v>
      </c>
      <c r="G144" s="214">
        <f t="shared" si="59"/>
        <v>9.1036627448564147</v>
      </c>
      <c r="H144" s="214">
        <f t="shared" si="59"/>
        <v>9.1036627448564147</v>
      </c>
      <c r="I144" s="214">
        <f t="shared" si="59"/>
        <v>9.8039444944607546</v>
      </c>
      <c r="J144" s="214">
        <f t="shared" si="59"/>
        <v>10.504226244065093</v>
      </c>
      <c r="K144" s="214">
        <f t="shared" si="59"/>
        <v>10.504226244065093</v>
      </c>
    </row>
    <row r="145" spans="1:11" ht="45">
      <c r="A145" s="231" t="s">
        <v>1051</v>
      </c>
      <c r="B145" s="150" t="s">
        <v>152</v>
      </c>
      <c r="C145" s="214">
        <f>C139*C131</f>
        <v>17.50704374010849</v>
      </c>
      <c r="D145" s="214">
        <f t="shared" ref="D145:K145" si="60">D139*D131</f>
        <v>11.904789743273774</v>
      </c>
      <c r="E145" s="214">
        <f t="shared" si="60"/>
        <v>9.8039444944607546</v>
      </c>
      <c r="F145" s="214">
        <f t="shared" si="60"/>
        <v>9.8039444944607546</v>
      </c>
      <c r="G145" s="214">
        <f t="shared" si="60"/>
        <v>9.8039444944607546</v>
      </c>
      <c r="H145" s="214">
        <f t="shared" si="60"/>
        <v>9.8039444944607546</v>
      </c>
      <c r="I145" s="214">
        <f t="shared" si="60"/>
        <v>10.504226244065093</v>
      </c>
      <c r="J145" s="214">
        <f t="shared" si="60"/>
        <v>11.204507993669433</v>
      </c>
      <c r="K145" s="214">
        <f t="shared" si="60"/>
        <v>11.204507993669433</v>
      </c>
    </row>
    <row r="146" spans="1:11">
      <c r="A146" s="83"/>
      <c r="B146" s="66"/>
      <c r="C146" s="218"/>
      <c r="D146" s="218"/>
      <c r="E146" s="218"/>
      <c r="F146" s="218"/>
      <c r="G146" s="218"/>
      <c r="H146" s="218"/>
      <c r="I146" s="218"/>
      <c r="J146" s="218"/>
      <c r="K146" s="218"/>
    </row>
    <row r="147" spans="1:11">
      <c r="A147" s="234" t="s">
        <v>1052</v>
      </c>
      <c r="B147" s="66"/>
      <c r="C147" s="209">
        <f>C136</f>
        <v>50</v>
      </c>
      <c r="D147" s="209">
        <f t="shared" ref="D147:K147" si="61">D136</f>
        <v>34</v>
      </c>
      <c r="E147" s="209">
        <f t="shared" si="61"/>
        <v>28</v>
      </c>
      <c r="F147" s="209">
        <f t="shared" si="61"/>
        <v>28</v>
      </c>
      <c r="G147" s="209">
        <f t="shared" si="61"/>
        <v>28</v>
      </c>
      <c r="H147" s="209">
        <f t="shared" si="61"/>
        <v>28</v>
      </c>
      <c r="I147" s="209">
        <f t="shared" si="61"/>
        <v>30</v>
      </c>
      <c r="J147" s="209">
        <f t="shared" si="61"/>
        <v>32</v>
      </c>
      <c r="K147" s="209">
        <f t="shared" si="61"/>
        <v>32</v>
      </c>
    </row>
    <row r="148" spans="1:11">
      <c r="A148" s="83" t="s">
        <v>1053</v>
      </c>
      <c r="B148" s="66"/>
      <c r="C148" s="219">
        <f t="shared" ref="C148:K148" si="62">C147*C128</f>
        <v>50</v>
      </c>
      <c r="D148" s="219">
        <f t="shared" si="62"/>
        <v>34</v>
      </c>
      <c r="E148" s="219">
        <f t="shared" si="62"/>
        <v>28</v>
      </c>
      <c r="F148" s="219">
        <f t="shared" si="62"/>
        <v>28</v>
      </c>
      <c r="G148" s="219">
        <f t="shared" si="62"/>
        <v>28</v>
      </c>
      <c r="H148" s="219">
        <f t="shared" si="62"/>
        <v>28</v>
      </c>
      <c r="I148" s="219">
        <f t="shared" si="62"/>
        <v>30</v>
      </c>
      <c r="J148" s="219">
        <f t="shared" si="62"/>
        <v>32</v>
      </c>
      <c r="K148" s="219">
        <f t="shared" si="62"/>
        <v>32</v>
      </c>
    </row>
    <row r="149" spans="1:11">
      <c r="A149" s="83"/>
      <c r="B149" s="66"/>
      <c r="C149" s="218"/>
      <c r="D149" s="218"/>
      <c r="E149" s="218"/>
      <c r="F149" s="218"/>
      <c r="G149" s="218"/>
      <c r="H149" s="218"/>
      <c r="I149" s="218"/>
      <c r="J149" s="218"/>
      <c r="K149" s="218"/>
    </row>
    <row r="150" spans="1:11">
      <c r="A150" s="233" t="s">
        <v>1054</v>
      </c>
      <c r="B150" s="66" t="s">
        <v>152</v>
      </c>
      <c r="C150" s="214">
        <f t="shared" ref="C150:K150" si="63">C148*C126/PI()</f>
        <v>6.366197723675814</v>
      </c>
      <c r="D150" s="214">
        <f t="shared" si="63"/>
        <v>4.3290144520995542</v>
      </c>
      <c r="E150" s="214">
        <f t="shared" si="63"/>
        <v>3.5650707252584559</v>
      </c>
      <c r="F150" s="214">
        <f t="shared" si="63"/>
        <v>3.5650707252584559</v>
      </c>
      <c r="G150" s="214">
        <f t="shared" si="63"/>
        <v>3.5650707252584559</v>
      </c>
      <c r="H150" s="214">
        <f t="shared" si="63"/>
        <v>3.5650707252584559</v>
      </c>
      <c r="I150" s="214">
        <f t="shared" si="63"/>
        <v>3.8197186342054881</v>
      </c>
      <c r="J150" s="214">
        <f t="shared" si="63"/>
        <v>4.0743665431525207</v>
      </c>
      <c r="K150" s="214">
        <f t="shared" si="63"/>
        <v>4.0743665431525207</v>
      </c>
    </row>
    <row r="151" spans="1:11">
      <c r="A151" s="83"/>
      <c r="B151" s="66"/>
      <c r="C151" s="218"/>
      <c r="D151" s="218"/>
      <c r="E151" s="218"/>
      <c r="F151" s="218"/>
      <c r="G151" s="218"/>
      <c r="H151" s="218"/>
      <c r="I151" s="218"/>
      <c r="J151" s="218"/>
      <c r="K151" s="218"/>
    </row>
    <row r="152" spans="1:11" ht="30">
      <c r="A152" s="79" t="s">
        <v>1057</v>
      </c>
      <c r="B152" s="66" t="s">
        <v>152</v>
      </c>
      <c r="C152" s="214">
        <f>C150*C130</f>
        <v>9.5492965855137211</v>
      </c>
      <c r="D152" s="214">
        <f t="shared" ref="D152" si="64">D150*D130</f>
        <v>6.4935216781493317</v>
      </c>
      <c r="E152" s="214">
        <f t="shared" ref="E152" si="65">E150*E130</f>
        <v>5.3476060878876837</v>
      </c>
      <c r="F152" s="214">
        <f t="shared" ref="F152" si="66">F150*F130</f>
        <v>5.3476060878876837</v>
      </c>
      <c r="G152" s="214">
        <f t="shared" ref="G152" si="67">G150*G130</f>
        <v>5.3476060878876837</v>
      </c>
      <c r="H152" s="214">
        <f t="shared" ref="H152" si="68">H150*H130</f>
        <v>5.3476060878876837</v>
      </c>
      <c r="I152" s="214">
        <f t="shared" ref="I152" si="69">I150*I130</f>
        <v>5.7295779513082321</v>
      </c>
      <c r="J152" s="214">
        <f t="shared" ref="J152" si="70">J150*J130</f>
        <v>6.1115498147287806</v>
      </c>
      <c r="K152" s="214">
        <f t="shared" ref="K152" si="71">K150*K130</f>
        <v>6.1115498147287806</v>
      </c>
    </row>
    <row r="153" spans="1:11">
      <c r="A153" s="79" t="s">
        <v>1058</v>
      </c>
      <c r="B153" s="66" t="s">
        <v>152</v>
      </c>
      <c r="C153" s="210">
        <f>C34</f>
        <v>2.6</v>
      </c>
      <c r="D153" s="210">
        <f t="shared" ref="D153:K153" si="72">D34</f>
        <v>3.4857142857142858</v>
      </c>
      <c r="E153" s="210">
        <f t="shared" si="72"/>
        <v>4.4799999999999995</v>
      </c>
      <c r="F153" s="210">
        <f t="shared" si="72"/>
        <v>5.1999999999999993</v>
      </c>
      <c r="G153" s="210">
        <f t="shared" si="72"/>
        <v>6.4799999999999995</v>
      </c>
      <c r="H153" s="210">
        <f t="shared" si="72"/>
        <v>6.4799999999999995</v>
      </c>
      <c r="I153" s="210">
        <f t="shared" si="72"/>
        <v>8.8999999999999986</v>
      </c>
      <c r="J153" s="210">
        <f t="shared" si="72"/>
        <v>8.8999999999999986</v>
      </c>
      <c r="K153" s="210">
        <f t="shared" si="72"/>
        <v>8.8999999999999986</v>
      </c>
    </row>
    <row r="154" spans="1:11" ht="30">
      <c r="A154" s="79" t="s">
        <v>1059</v>
      </c>
      <c r="B154" s="66" t="s">
        <v>152</v>
      </c>
      <c r="C154" s="214">
        <f>C150*C131</f>
        <v>17.50704374010849</v>
      </c>
      <c r="D154" s="214">
        <f t="shared" ref="D154:K154" si="73">D150*D131</f>
        <v>11.904789743273774</v>
      </c>
      <c r="E154" s="214">
        <f t="shared" si="73"/>
        <v>9.8039444944607546</v>
      </c>
      <c r="F154" s="214">
        <f t="shared" si="73"/>
        <v>9.8039444944607546</v>
      </c>
      <c r="G154" s="214">
        <f t="shared" si="73"/>
        <v>9.8039444944607546</v>
      </c>
      <c r="H154" s="214">
        <f t="shared" si="73"/>
        <v>9.8039444944607546</v>
      </c>
      <c r="I154" s="214">
        <f t="shared" si="73"/>
        <v>10.504226244065093</v>
      </c>
      <c r="J154" s="214">
        <f t="shared" si="73"/>
        <v>11.204507993669433</v>
      </c>
      <c r="K154" s="214">
        <f t="shared" si="73"/>
        <v>11.204507993669433</v>
      </c>
    </row>
    <row r="155" spans="1:11">
      <c r="A155" s="83" t="s">
        <v>1060</v>
      </c>
      <c r="B155" s="66" t="s">
        <v>152</v>
      </c>
      <c r="C155" s="210">
        <f>1.5*C21</f>
        <v>3</v>
      </c>
      <c r="D155" s="210">
        <f t="shared" ref="D155:K155" si="74">1.5*D21</f>
        <v>3.6642857142857146</v>
      </c>
      <c r="E155" s="210">
        <f t="shared" si="74"/>
        <v>4.08</v>
      </c>
      <c r="F155" s="210">
        <f t="shared" si="74"/>
        <v>4.3499999999999996</v>
      </c>
      <c r="G155" s="210">
        <f t="shared" si="74"/>
        <v>5.0999999999999996</v>
      </c>
      <c r="H155" s="210">
        <f t="shared" si="74"/>
        <v>5.0999999999999996</v>
      </c>
      <c r="I155" s="210">
        <f t="shared" si="74"/>
        <v>6.2999999999999989</v>
      </c>
      <c r="J155" s="210">
        <f t="shared" si="74"/>
        <v>6.2999999999999989</v>
      </c>
      <c r="K155" s="210">
        <f t="shared" si="74"/>
        <v>6.2999999999999989</v>
      </c>
    </row>
    <row r="156" spans="1:11" ht="30">
      <c r="A156" s="79" t="s">
        <v>1061</v>
      </c>
      <c r="B156" s="66" t="s">
        <v>152</v>
      </c>
      <c r="C156" s="210">
        <f>18.3+C121+0.5*C120+C123+C126</f>
        <v>19.439499999999999</v>
      </c>
      <c r="D156" s="210">
        <f t="shared" ref="D156:K156" si="75">18.3+D121+0.5*D120+D123+D126</f>
        <v>19.439499999999999</v>
      </c>
      <c r="E156" s="210">
        <f t="shared" si="75"/>
        <v>19.439499999999999</v>
      </c>
      <c r="F156" s="210">
        <f t="shared" si="75"/>
        <v>19.439499999999999</v>
      </c>
      <c r="G156" s="210">
        <f t="shared" si="75"/>
        <v>19.439499999999999</v>
      </c>
      <c r="H156" s="210">
        <f t="shared" si="75"/>
        <v>19.439499999999999</v>
      </c>
      <c r="I156" s="210">
        <f t="shared" si="75"/>
        <v>19.439499999999999</v>
      </c>
      <c r="J156" s="210">
        <f t="shared" si="75"/>
        <v>19.439499999999999</v>
      </c>
      <c r="K156" s="210">
        <f t="shared" si="75"/>
        <v>19.439499999999999</v>
      </c>
    </row>
    <row r="157" spans="1:11">
      <c r="A157" s="79"/>
      <c r="B157" s="66"/>
      <c r="C157" s="218"/>
      <c r="D157" s="218"/>
      <c r="E157" s="218"/>
      <c r="F157" s="218"/>
      <c r="G157" s="218"/>
      <c r="H157" s="218"/>
      <c r="I157" s="218"/>
      <c r="J157" s="218"/>
      <c r="K157" s="218"/>
    </row>
    <row r="158" spans="1:11">
      <c r="A158" s="232" t="s">
        <v>1067</v>
      </c>
      <c r="B158" s="235" t="s">
        <v>152</v>
      </c>
      <c r="C158" s="236">
        <f>MAX(C152,C153,C155)</f>
        <v>9.5492965855137211</v>
      </c>
      <c r="D158" s="236">
        <f t="shared" ref="D158:K158" si="76">MAX(D152,D153,D155)</f>
        <v>6.4935216781493317</v>
      </c>
      <c r="E158" s="236">
        <f t="shared" si="76"/>
        <v>5.3476060878876837</v>
      </c>
      <c r="F158" s="236">
        <f t="shared" si="76"/>
        <v>5.3476060878876837</v>
      </c>
      <c r="G158" s="236">
        <f t="shared" si="76"/>
        <v>6.4799999999999995</v>
      </c>
      <c r="H158" s="236">
        <f t="shared" si="76"/>
        <v>6.4799999999999995</v>
      </c>
      <c r="I158" s="236">
        <f t="shared" si="76"/>
        <v>8.8999999999999986</v>
      </c>
      <c r="J158" s="236">
        <f t="shared" si="76"/>
        <v>8.8999999999999986</v>
      </c>
      <c r="K158" s="236">
        <f t="shared" si="76"/>
        <v>8.8999999999999986</v>
      </c>
    </row>
    <row r="159" spans="1:11">
      <c r="A159" s="232" t="s">
        <v>1068</v>
      </c>
      <c r="B159" s="235" t="s">
        <v>152</v>
      </c>
      <c r="C159" s="236">
        <f>MIN(C156,C154)</f>
        <v>17.50704374010849</v>
      </c>
      <c r="D159" s="236">
        <f t="shared" ref="D159:K159" si="77">MIN(D156,D154)</f>
        <v>11.904789743273774</v>
      </c>
      <c r="E159" s="236">
        <f t="shared" si="77"/>
        <v>9.8039444944607546</v>
      </c>
      <c r="F159" s="236">
        <f t="shared" si="77"/>
        <v>9.8039444944607546</v>
      </c>
      <c r="G159" s="236">
        <f t="shared" si="77"/>
        <v>9.8039444944607546</v>
      </c>
      <c r="H159" s="236">
        <f t="shared" si="77"/>
        <v>9.8039444944607546</v>
      </c>
      <c r="I159" s="236">
        <f t="shared" si="77"/>
        <v>10.504226244065093</v>
      </c>
      <c r="J159" s="236">
        <f t="shared" si="77"/>
        <v>11.204507993669433</v>
      </c>
      <c r="K159" s="236">
        <f t="shared" si="77"/>
        <v>11.204507993669433</v>
      </c>
    </row>
    <row r="160" spans="1:11">
      <c r="A160" s="79"/>
      <c r="B160" s="66"/>
      <c r="C160" s="218"/>
      <c r="D160" s="218"/>
      <c r="E160" s="218"/>
      <c r="F160" s="218"/>
      <c r="G160" s="218"/>
      <c r="H160" s="218"/>
      <c r="I160" s="218"/>
      <c r="J160" s="218"/>
      <c r="K160" s="218"/>
    </row>
    <row r="161" spans="1:11">
      <c r="A161" s="79" t="s">
        <v>1069</v>
      </c>
      <c r="B161" s="66"/>
      <c r="C161" s="210">
        <f>C158/C150</f>
        <v>1.5</v>
      </c>
      <c r="D161" s="210">
        <f t="shared" ref="D161:K161" si="78">D158/D150</f>
        <v>1.5</v>
      </c>
      <c r="E161" s="210">
        <f t="shared" si="78"/>
        <v>1.5</v>
      </c>
      <c r="F161" s="210">
        <f t="shared" si="78"/>
        <v>1.5</v>
      </c>
      <c r="G161" s="210">
        <f t="shared" si="78"/>
        <v>1.8176357495769515</v>
      </c>
      <c r="H161" s="210">
        <f t="shared" si="78"/>
        <v>1.8176357495769515</v>
      </c>
      <c r="I161" s="210">
        <f t="shared" si="78"/>
        <v>2.3300145514124297</v>
      </c>
      <c r="J161" s="210">
        <f t="shared" si="78"/>
        <v>2.1843886419491527</v>
      </c>
      <c r="K161" s="210">
        <f t="shared" si="78"/>
        <v>2.1843886419491527</v>
      </c>
    </row>
    <row r="162" spans="1:11">
      <c r="A162" s="79" t="s">
        <v>1070</v>
      </c>
      <c r="B162" s="66"/>
      <c r="C162" s="210">
        <f>C159/C150</f>
        <v>2.75</v>
      </c>
      <c r="D162" s="210">
        <f t="shared" ref="D162:K162" si="79">D159/D150</f>
        <v>2.75</v>
      </c>
      <c r="E162" s="210">
        <f t="shared" si="79"/>
        <v>2.75</v>
      </c>
      <c r="F162" s="210">
        <f t="shared" si="79"/>
        <v>2.75</v>
      </c>
      <c r="G162" s="210">
        <f t="shared" si="79"/>
        <v>2.75</v>
      </c>
      <c r="H162" s="210">
        <f t="shared" si="79"/>
        <v>2.75</v>
      </c>
      <c r="I162" s="210">
        <f t="shared" si="79"/>
        <v>2.75</v>
      </c>
      <c r="J162" s="210">
        <f t="shared" si="79"/>
        <v>2.75</v>
      </c>
      <c r="K162" s="210">
        <f t="shared" si="79"/>
        <v>2.75</v>
      </c>
    </row>
    <row r="163" spans="1:11">
      <c r="A163" s="79"/>
      <c r="B163" s="66"/>
      <c r="C163" s="218"/>
      <c r="D163" s="218"/>
      <c r="E163" s="218"/>
      <c r="F163" s="218"/>
      <c r="G163" s="218"/>
      <c r="H163" s="218"/>
      <c r="I163" s="218"/>
      <c r="J163" s="218"/>
      <c r="K163" s="218"/>
    </row>
    <row r="164" spans="1:11">
      <c r="A164" s="79" t="s">
        <v>1071</v>
      </c>
      <c r="B164" s="66" t="s">
        <v>152</v>
      </c>
      <c r="C164" s="210">
        <f>C158-C126-C120*0.5-C121-C123</f>
        <v>8.4097965855137193</v>
      </c>
      <c r="D164" s="210">
        <f t="shared" ref="D164:K164" si="80">D158-D126-D120*0.5-D121-D123</f>
        <v>5.3540216781493317</v>
      </c>
      <c r="E164" s="210">
        <f t="shared" si="80"/>
        <v>4.2081060878876837</v>
      </c>
      <c r="F164" s="210">
        <f t="shared" si="80"/>
        <v>4.2081060878876837</v>
      </c>
      <c r="G164" s="210">
        <f t="shared" si="80"/>
        <v>5.3404999999999996</v>
      </c>
      <c r="H164" s="210">
        <f t="shared" si="80"/>
        <v>5.3404999999999996</v>
      </c>
      <c r="I164" s="210">
        <f t="shared" si="80"/>
        <v>7.7604999999999968</v>
      </c>
      <c r="J164" s="210">
        <f t="shared" si="80"/>
        <v>7.7604999999999968</v>
      </c>
      <c r="K164" s="210">
        <f t="shared" si="80"/>
        <v>7.7604999999999968</v>
      </c>
    </row>
    <row r="165" spans="1:11">
      <c r="A165" s="79" t="s">
        <v>1072</v>
      </c>
      <c r="B165" s="66" t="s">
        <v>152</v>
      </c>
      <c r="C165" s="210">
        <f>C159-C126-C120*0.5-C121-C123</f>
        <v>16.367543740108491</v>
      </c>
      <c r="D165" s="210">
        <f t="shared" ref="D165:K165" si="81">D159-D126-D120*0.5-D121-D123</f>
        <v>10.765289743273772</v>
      </c>
      <c r="E165" s="210">
        <f t="shared" si="81"/>
        <v>8.6644444944607528</v>
      </c>
      <c r="F165" s="210">
        <f t="shared" si="81"/>
        <v>8.6644444944607528</v>
      </c>
      <c r="G165" s="210">
        <f t="shared" si="81"/>
        <v>8.6644444944607528</v>
      </c>
      <c r="H165" s="210">
        <f t="shared" si="81"/>
        <v>8.6644444944607528</v>
      </c>
      <c r="I165" s="210">
        <f t="shared" si="81"/>
        <v>9.3647262440650909</v>
      </c>
      <c r="J165" s="210">
        <f t="shared" si="81"/>
        <v>10.065007993669431</v>
      </c>
      <c r="K165" s="210">
        <f t="shared" si="81"/>
        <v>10.065007993669431</v>
      </c>
    </row>
    <row r="166" spans="1:11">
      <c r="A166" s="79"/>
      <c r="B166" s="66"/>
      <c r="C166" s="218"/>
      <c r="D166" s="218"/>
      <c r="E166" s="218"/>
      <c r="F166" s="218"/>
      <c r="G166" s="218"/>
      <c r="H166" s="218"/>
      <c r="I166" s="218"/>
      <c r="J166" s="218"/>
      <c r="K166" s="218"/>
    </row>
    <row r="167" spans="1:11">
      <c r="A167" s="79" t="s">
        <v>1073</v>
      </c>
      <c r="B167" s="66" t="s">
        <v>352</v>
      </c>
      <c r="C167" s="177">
        <f>PI()*C120*C148*(C164+PI()*C126*0.5)</f>
        <v>310.91513276340265</v>
      </c>
      <c r="D167" s="177">
        <f t="shared" ref="D167:K167" si="82">PI()*D120*D148*(D164+PI()*D126*0.5)</f>
        <v>139.94069027911388</v>
      </c>
      <c r="E167" s="177">
        <f t="shared" si="82"/>
        <v>93.170074347505519</v>
      </c>
      <c r="F167" s="177">
        <f t="shared" si="82"/>
        <v>93.170074347505519</v>
      </c>
      <c r="G167" s="177">
        <f t="shared" si="82"/>
        <v>114.98478941125123</v>
      </c>
      <c r="H167" s="177">
        <f t="shared" si="82"/>
        <v>114.98478941125123</v>
      </c>
      <c r="I167" s="177">
        <f t="shared" si="82"/>
        <v>173.14742689139752</v>
      </c>
      <c r="J167" s="177">
        <f t="shared" si="82"/>
        <v>184.69058868415735</v>
      </c>
      <c r="K167" s="177">
        <f t="shared" si="82"/>
        <v>184.69058868415735</v>
      </c>
    </row>
    <row r="168" spans="1:11">
      <c r="A168" s="79" t="s">
        <v>1074</v>
      </c>
      <c r="B168" s="66" t="s">
        <v>352</v>
      </c>
      <c r="C168" s="177">
        <f>PI()*C120*C148*(C165+PI()*C126*0.5)</f>
        <v>584.66513276340277</v>
      </c>
      <c r="D168" s="177">
        <f t="shared" ref="D168:K168" si="83">PI()*D120*D148*(D165+PI()*D126*0.5)</f>
        <v>266.52269027911382</v>
      </c>
      <c r="E168" s="177">
        <f t="shared" si="83"/>
        <v>179.01807434750552</v>
      </c>
      <c r="F168" s="177">
        <f t="shared" si="83"/>
        <v>179.01807434750552</v>
      </c>
      <c r="G168" s="177">
        <f t="shared" si="83"/>
        <v>179.01807434750552</v>
      </c>
      <c r="H168" s="177">
        <f t="shared" si="83"/>
        <v>179.01807434750552</v>
      </c>
      <c r="I168" s="177">
        <f t="shared" si="83"/>
        <v>206.25907965804157</v>
      </c>
      <c r="J168" s="177">
        <f t="shared" si="83"/>
        <v>235.42728496857768</v>
      </c>
      <c r="K168" s="177">
        <f t="shared" si="83"/>
        <v>235.42728496857768</v>
      </c>
    </row>
    <row r="169" spans="1:11">
      <c r="A169" s="79"/>
      <c r="B169" s="66"/>
      <c r="C169" s="177"/>
      <c r="D169" s="177"/>
      <c r="E169" s="177"/>
      <c r="F169" s="177"/>
      <c r="G169" s="177"/>
      <c r="H169" s="177"/>
      <c r="I169" s="177"/>
      <c r="J169" s="177"/>
      <c r="K169" s="177"/>
    </row>
    <row r="170" spans="1:11">
      <c r="A170" s="83" t="s">
        <v>1066</v>
      </c>
      <c r="B170" s="66" t="s">
        <v>502</v>
      </c>
      <c r="C170" s="177">
        <f>(C167-MIN(C167:K167))*100/MIN(C167:K167)</f>
        <v>233.70707809435905</v>
      </c>
      <c r="D170" s="177">
        <f>(D167-MIN(C167:K167))*100/MIN(C167:K167)</f>
        <v>50.199182794642226</v>
      </c>
      <c r="E170" s="177">
        <f>(E167-MIN(C167:K167))*100/MIN(C167:K167)</f>
        <v>0</v>
      </c>
      <c r="F170" s="177">
        <f>(F167-MIN(C167:K167))*100/MIN(C167:K167)</f>
        <v>0</v>
      </c>
      <c r="G170" s="177">
        <f>(G167-MIN(C167:K167))*100/MIN(C167:K167)</f>
        <v>23.413864608909975</v>
      </c>
      <c r="H170" s="177">
        <f>(H167-MIN(C167:K167))*100/MIN(C167:K167)</f>
        <v>23.413864608909975</v>
      </c>
      <c r="I170" s="177">
        <f>(I167-MIN(C167:K167))*100/MIN(C167:K167)</f>
        <v>85.840172506026619</v>
      </c>
      <c r="J170" s="177">
        <f>(J167-MIN(C167:K167))*100/MIN(C167:K167)</f>
        <v>98.229517339761728</v>
      </c>
      <c r="K170" s="177">
        <f>(K167-MIN(C167:K167))*100/MIN(C167:K167)</f>
        <v>98.229517339761728</v>
      </c>
    </row>
    <row r="171" spans="1:11">
      <c r="A171" s="83" t="s">
        <v>1066</v>
      </c>
      <c r="B171" s="66" t="s">
        <v>502</v>
      </c>
      <c r="C171" s="177">
        <f>(C168-MIN(C168:K168))*100/MIN(C168:K168)</f>
        <v>226.59558812394837</v>
      </c>
      <c r="D171" s="177">
        <f>(D168-MIN(C168:K168))*100/MIN(C168:K168)</f>
        <v>48.880324654675078</v>
      </c>
      <c r="E171" s="177">
        <f>(E168-MIN(C168:K168))*100/MIN(C168:K168)</f>
        <v>0</v>
      </c>
      <c r="F171" s="177">
        <f>(F168-MIN(C168:K168))*100/MIN(C168:K168)</f>
        <v>0</v>
      </c>
      <c r="G171" s="177">
        <f>(G168-MIN(C168:K168))*100/MIN(C168:K168)</f>
        <v>0</v>
      </c>
      <c r="H171" s="177">
        <f>(H168-MIN(C168:K168))*100/MIN(C168:K168)</f>
        <v>0</v>
      </c>
      <c r="I171" s="177">
        <f>(I168-MIN(C168:K168))*100/MIN(C168:K168)</f>
        <v>15.216902209358189</v>
      </c>
      <c r="J171" s="177">
        <f>(J168-MIN(C168:K168))*100/MIN(C168:K168)</f>
        <v>31.510343760916552</v>
      </c>
      <c r="K171" s="177">
        <f>(K168-MIN(C168:K168))*100/MIN(C168:K168)</f>
        <v>31.510343760916552</v>
      </c>
    </row>
    <row r="172" spans="1:11">
      <c r="A172" s="83"/>
      <c r="B172" s="66"/>
      <c r="C172" s="218"/>
      <c r="D172" s="218"/>
      <c r="E172" s="218"/>
      <c r="F172" s="218"/>
      <c r="G172" s="218"/>
      <c r="H172" s="218"/>
      <c r="I172" s="218"/>
      <c r="J172" s="218"/>
      <c r="K172" s="218"/>
    </row>
    <row r="173" spans="1:11" ht="30">
      <c r="A173" s="238" t="s">
        <v>1077</v>
      </c>
      <c r="B173" s="66" t="s">
        <v>132</v>
      </c>
      <c r="C173" s="9">
        <f t="shared" ref="C173:K173" si="84">ВыбГор_QFH*0.6*1000/C167</f>
        <v>11.578722360675492</v>
      </c>
      <c r="D173" s="9">
        <f t="shared" si="84"/>
        <v>25.725183953428726</v>
      </c>
      <c r="E173" s="9">
        <f t="shared" si="84"/>
        <v>38.639016070468379</v>
      </c>
      <c r="F173" s="9">
        <f t="shared" si="84"/>
        <v>38.639016070468379</v>
      </c>
      <c r="G173" s="9">
        <f t="shared" si="84"/>
        <v>31.308488874335762</v>
      </c>
      <c r="H173" s="9">
        <f t="shared" si="84"/>
        <v>31.308488874335762</v>
      </c>
      <c r="I173" s="9">
        <f t="shared" si="84"/>
        <v>20.791530458364889</v>
      </c>
      <c r="J173" s="9">
        <f t="shared" si="84"/>
        <v>19.492059804717083</v>
      </c>
      <c r="K173" s="9">
        <f t="shared" si="84"/>
        <v>19.492059804717083</v>
      </c>
    </row>
    <row r="174" spans="1:11" ht="30">
      <c r="A174" s="238" t="s">
        <v>1078</v>
      </c>
      <c r="B174" s="66" t="s">
        <v>132</v>
      </c>
      <c r="C174" s="9">
        <f t="shared" ref="C174:K174" si="85">ВыбГор_QFH*0.6*1000/C168</f>
        <v>6.1573707721969058</v>
      </c>
      <c r="D174" s="9">
        <f t="shared" si="85"/>
        <v>13.507292742054823</v>
      </c>
      <c r="E174" s="9">
        <f t="shared" si="85"/>
        <v>20.109701286428585</v>
      </c>
      <c r="F174" s="9">
        <f t="shared" si="85"/>
        <v>20.109701286428585</v>
      </c>
      <c r="G174" s="9">
        <f t="shared" si="85"/>
        <v>20.109701286428585</v>
      </c>
      <c r="H174" s="9">
        <f t="shared" si="85"/>
        <v>20.109701286428585</v>
      </c>
      <c r="I174" s="9">
        <f t="shared" si="85"/>
        <v>17.453777094169457</v>
      </c>
      <c r="J174" s="9">
        <f t="shared" si="85"/>
        <v>15.291345692919531</v>
      </c>
      <c r="K174" s="9">
        <f t="shared" si="85"/>
        <v>15.291345692919531</v>
      </c>
    </row>
    <row r="175" spans="1:11">
      <c r="A175" s="238"/>
      <c r="B175" s="66"/>
    </row>
    <row r="176" spans="1:11">
      <c r="A176" s="83"/>
      <c r="B176" s="66"/>
      <c r="C176" s="218"/>
      <c r="D176" s="218"/>
      <c r="E176" s="218"/>
      <c r="F176" s="218"/>
      <c r="G176" s="218"/>
      <c r="H176" s="218"/>
      <c r="I176" s="218"/>
      <c r="J176" s="218"/>
      <c r="K176" s="218"/>
    </row>
    <row r="177" spans="1:11">
      <c r="A177" s="233" t="s">
        <v>1062</v>
      </c>
      <c r="B177" s="235" t="s">
        <v>152</v>
      </c>
      <c r="C177" s="237">
        <v>8.7850000000000001</v>
      </c>
      <c r="D177" s="237">
        <v>6</v>
      </c>
      <c r="E177" s="237">
        <v>6.8</v>
      </c>
      <c r="F177" s="237">
        <v>6.35</v>
      </c>
      <c r="G177" s="237">
        <v>6.5</v>
      </c>
      <c r="H177" s="237">
        <v>6.5</v>
      </c>
      <c r="I177" s="237">
        <v>6.5</v>
      </c>
      <c r="J177" s="237">
        <v>6.5</v>
      </c>
      <c r="K177" s="237">
        <v>6.5</v>
      </c>
    </row>
    <row r="178" spans="1:11">
      <c r="A178" s="83"/>
      <c r="B178" s="66"/>
      <c r="C178" s="218"/>
      <c r="D178" s="218"/>
      <c r="E178" s="218"/>
      <c r="F178" s="218"/>
      <c r="G178" s="218"/>
      <c r="H178" s="218"/>
      <c r="I178" s="218"/>
      <c r="J178" s="218"/>
      <c r="K178" s="218"/>
    </row>
    <row r="179" spans="1:11">
      <c r="A179" s="83" t="s">
        <v>1063</v>
      </c>
      <c r="B179" s="66"/>
      <c r="C179" s="218">
        <f t="shared" ref="C179:K179" si="86">C177/C150</f>
        <v>1.3799445730893165</v>
      </c>
      <c r="D179" s="218">
        <f t="shared" si="86"/>
        <v>1.3859967589366731</v>
      </c>
      <c r="E179" s="218">
        <f t="shared" si="86"/>
        <v>1.907395539679517</v>
      </c>
      <c r="F179" s="218">
        <f t="shared" si="86"/>
        <v>1.7811708348477842</v>
      </c>
      <c r="G179" s="218">
        <f t="shared" si="86"/>
        <v>1.8232457364583619</v>
      </c>
      <c r="H179" s="218">
        <f t="shared" si="86"/>
        <v>1.8232457364583619</v>
      </c>
      <c r="I179" s="218">
        <f t="shared" si="86"/>
        <v>1.7016960206944713</v>
      </c>
      <c r="J179" s="218">
        <f t="shared" si="86"/>
        <v>1.595340019401067</v>
      </c>
      <c r="K179" s="218">
        <f t="shared" si="86"/>
        <v>1.595340019401067</v>
      </c>
    </row>
    <row r="180" spans="1:11">
      <c r="A180" s="83"/>
      <c r="B180" s="66"/>
      <c r="C180" s="218"/>
      <c r="D180" s="218"/>
      <c r="E180" s="218"/>
      <c r="F180" s="218"/>
      <c r="G180" s="218"/>
      <c r="H180" s="218"/>
      <c r="I180" s="218"/>
      <c r="J180" s="218"/>
      <c r="K180" s="218"/>
    </row>
    <row r="181" spans="1:11" ht="30">
      <c r="A181" s="79" t="s">
        <v>1064</v>
      </c>
      <c r="B181" s="66" t="s">
        <v>152</v>
      </c>
      <c r="C181" s="210">
        <f t="shared" ref="C181:K181" si="87">C177-C126-C120*0.5-C121-C123</f>
        <v>7.6454999999999993</v>
      </c>
      <c r="D181" s="210">
        <f t="shared" si="87"/>
        <v>4.8605</v>
      </c>
      <c r="E181" s="210">
        <f t="shared" si="87"/>
        <v>5.6604999999999999</v>
      </c>
      <c r="F181" s="210">
        <f t="shared" si="87"/>
        <v>5.2104999999999997</v>
      </c>
      <c r="G181" s="210">
        <f t="shared" si="87"/>
        <v>5.3605</v>
      </c>
      <c r="H181" s="210">
        <f t="shared" si="87"/>
        <v>5.3605</v>
      </c>
      <c r="I181" s="210">
        <f t="shared" si="87"/>
        <v>5.3605</v>
      </c>
      <c r="J181" s="210">
        <f t="shared" si="87"/>
        <v>5.3605</v>
      </c>
      <c r="K181" s="210">
        <f t="shared" si="87"/>
        <v>5.3605</v>
      </c>
    </row>
    <row r="182" spans="1:11">
      <c r="A182" s="83"/>
      <c r="B182" s="66"/>
      <c r="C182" s="218"/>
      <c r="D182" s="218"/>
      <c r="E182" s="218"/>
      <c r="F182" s="218"/>
      <c r="G182" s="218"/>
      <c r="H182" s="218"/>
      <c r="I182" s="218"/>
      <c r="J182" s="218"/>
      <c r="K182" s="218"/>
    </row>
    <row r="183" spans="1:11">
      <c r="A183" s="83" t="s">
        <v>1065</v>
      </c>
      <c r="B183" s="66" t="s">
        <v>352</v>
      </c>
      <c r="C183" s="177">
        <f t="shared" ref="C183:K183" si="88">PI()*C120*C148*(C181+PI()*C126*0.5)</f>
        <v>284.62299426996299</v>
      </c>
      <c r="D183" s="177">
        <f t="shared" si="88"/>
        <v>128.39608367089144</v>
      </c>
      <c r="E183" s="177">
        <f t="shared" si="88"/>
        <v>121.14934817983126</v>
      </c>
      <c r="F183" s="177">
        <f t="shared" si="88"/>
        <v>112.4804374115156</v>
      </c>
      <c r="G183" s="177">
        <f t="shared" si="88"/>
        <v>115.37007433428748</v>
      </c>
      <c r="H183" s="177">
        <f t="shared" si="88"/>
        <v>115.37007433428748</v>
      </c>
      <c r="I183" s="177">
        <f t="shared" si="88"/>
        <v>123.61079392959374</v>
      </c>
      <c r="J183" s="177">
        <f t="shared" si="88"/>
        <v>131.85151352489999</v>
      </c>
      <c r="K183" s="177">
        <f t="shared" si="88"/>
        <v>131.85151352489999</v>
      </c>
    </row>
    <row r="184" spans="1:11">
      <c r="A184" s="83"/>
      <c r="B184" s="66"/>
      <c r="C184" s="218"/>
      <c r="D184" s="218"/>
      <c r="E184" s="218"/>
      <c r="F184" s="218"/>
      <c r="G184" s="218"/>
      <c r="H184" s="218"/>
      <c r="I184" s="218"/>
      <c r="J184" s="218"/>
      <c r="K184" s="218"/>
    </row>
    <row r="185" spans="1:11">
      <c r="A185" s="83" t="s">
        <v>1066</v>
      </c>
      <c r="B185" s="66" t="s">
        <v>502</v>
      </c>
      <c r="C185" s="177">
        <f>(C183-MIN(C183:K183))*100/MIN(C183:K183)</f>
        <v>153.04221855810783</v>
      </c>
      <c r="D185" s="177">
        <f>(D183-MIN(C183:K183))*100/MIN(C183:K183)</f>
        <v>14.149701606464793</v>
      </c>
      <c r="E185" s="177">
        <f>(E183-MIN(C183:K183))*100/MIN(C183:K183)</f>
        <v>7.7070386351717355</v>
      </c>
      <c r="F185" s="177">
        <f>(F183-MIN(C183:K183))*100/MIN(C183:K183)</f>
        <v>0</v>
      </c>
      <c r="G185" s="177">
        <f>(G183-MIN(C183:K183))*100/MIN(C183:K183)</f>
        <v>2.5690128783905744</v>
      </c>
      <c r="H185" s="177">
        <f>(H183-MIN(C183:K183))*100/MIN(C183:K183)</f>
        <v>2.5690128783905744</v>
      </c>
      <c r="I185" s="177">
        <f>(I183-MIN(C183:K183))*100/MIN(C183:K183)</f>
        <v>9.8953709411327679</v>
      </c>
      <c r="J185" s="177">
        <f>(J183-MIN(C183:K183))*100/MIN(C183:K183)</f>
        <v>17.221729003874948</v>
      </c>
      <c r="K185" s="177">
        <f>(K183-MIN(C183:K183))*100/MIN(C183:K183)</f>
        <v>17.221729003874948</v>
      </c>
    </row>
    <row r="186" spans="1:11">
      <c r="A186" s="83"/>
      <c r="B186" s="66"/>
      <c r="C186" s="177"/>
      <c r="D186" s="177"/>
      <c r="E186" s="177"/>
      <c r="F186" s="177"/>
      <c r="G186" s="177"/>
      <c r="H186" s="177"/>
      <c r="I186" s="177"/>
      <c r="J186" s="177"/>
      <c r="K186" s="177"/>
    </row>
    <row r="187" spans="1:11" ht="30">
      <c r="A187" s="238" t="s">
        <v>1075</v>
      </c>
      <c r="B187" s="66" t="s">
        <v>132</v>
      </c>
      <c r="C187" s="9">
        <f t="shared" ref="C187:K187" si="89">ВыбГор_QFH*0.6*1000/C183</f>
        <v>12.64831047552477</v>
      </c>
      <c r="D187" s="9">
        <f t="shared" si="89"/>
        <v>28.038238372033401</v>
      </c>
      <c r="E187" s="9">
        <f t="shared" si="89"/>
        <v>29.71538893181863</v>
      </c>
      <c r="F187" s="9">
        <f t="shared" si="89"/>
        <v>32.005565437385435</v>
      </c>
      <c r="G187" s="9">
        <f t="shared" si="89"/>
        <v>31.203932395578732</v>
      </c>
      <c r="H187" s="9">
        <f t="shared" si="89"/>
        <v>31.203932395578732</v>
      </c>
      <c r="I187" s="9">
        <f t="shared" si="89"/>
        <v>29.12367023587348</v>
      </c>
      <c r="J187" s="9">
        <f t="shared" si="89"/>
        <v>27.303440846131387</v>
      </c>
      <c r="K187" s="9">
        <f t="shared" si="89"/>
        <v>27.303440846131387</v>
      </c>
    </row>
    <row r="188" spans="1:11">
      <c r="A188" s="215"/>
      <c r="B188" s="66"/>
    </row>
    <row r="189" spans="1:11">
      <c r="A189" s="43" t="s">
        <v>1080</v>
      </c>
    </row>
    <row r="190" spans="1:11">
      <c r="A190" s="83" t="s">
        <v>1025</v>
      </c>
      <c r="B190" s="66" t="s">
        <v>152</v>
      </c>
      <c r="C190" s="213">
        <v>0.219</v>
      </c>
      <c r="D190" s="214">
        <f>C190</f>
        <v>0.219</v>
      </c>
      <c r="E190" s="214">
        <f>C190</f>
        <v>0.219</v>
      </c>
      <c r="F190" s="214">
        <f>C190</f>
        <v>0.219</v>
      </c>
      <c r="G190" s="214">
        <f>C190</f>
        <v>0.219</v>
      </c>
      <c r="H190" s="214">
        <f>C190</f>
        <v>0.219</v>
      </c>
      <c r="I190" s="214">
        <f>C190</f>
        <v>0.219</v>
      </c>
      <c r="J190" s="214">
        <f>C190</f>
        <v>0.219</v>
      </c>
      <c r="K190" s="214">
        <f>C190</f>
        <v>0.219</v>
      </c>
    </row>
    <row r="191" spans="1:11">
      <c r="A191" s="83" t="s">
        <v>1026</v>
      </c>
      <c r="B191" s="66" t="s">
        <v>152</v>
      </c>
      <c r="C191" s="213">
        <v>0.3</v>
      </c>
      <c r="D191" s="214">
        <f>C191</f>
        <v>0.3</v>
      </c>
      <c r="E191" s="214">
        <f>C191</f>
        <v>0.3</v>
      </c>
      <c r="F191" s="214">
        <f>C191</f>
        <v>0.3</v>
      </c>
      <c r="G191" s="214">
        <f>C191</f>
        <v>0.3</v>
      </c>
      <c r="H191" s="214">
        <f>C191</f>
        <v>0.3</v>
      </c>
      <c r="I191" s="214">
        <f>C191</f>
        <v>0.3</v>
      </c>
      <c r="J191" s="214">
        <f>C191</f>
        <v>0.3</v>
      </c>
      <c r="K191" s="214">
        <f>C191</f>
        <v>0.3</v>
      </c>
    </row>
    <row r="192" spans="1:11">
      <c r="A192" s="83" t="s">
        <v>1027</v>
      </c>
      <c r="B192" s="66" t="s">
        <v>152</v>
      </c>
      <c r="C192" s="210">
        <f t="shared" ref="C192:K192" si="90">MAX(0.1,1.5*C190)</f>
        <v>0.32850000000000001</v>
      </c>
      <c r="D192" s="210">
        <f t="shared" si="90"/>
        <v>0.32850000000000001</v>
      </c>
      <c r="E192" s="210">
        <f t="shared" si="90"/>
        <v>0.32850000000000001</v>
      </c>
      <c r="F192" s="210">
        <f t="shared" si="90"/>
        <v>0.32850000000000001</v>
      </c>
      <c r="G192" s="210">
        <f t="shared" si="90"/>
        <v>0.32850000000000001</v>
      </c>
      <c r="H192" s="210">
        <f t="shared" si="90"/>
        <v>0.32850000000000001</v>
      </c>
      <c r="I192" s="210">
        <f t="shared" si="90"/>
        <v>0.32850000000000001</v>
      </c>
      <c r="J192" s="210">
        <f t="shared" si="90"/>
        <v>0.32850000000000001</v>
      </c>
      <c r="K192" s="210">
        <f t="shared" si="90"/>
        <v>0.32850000000000001</v>
      </c>
    </row>
    <row r="193" spans="1:11">
      <c r="A193" s="83" t="s">
        <v>1028</v>
      </c>
      <c r="B193" s="66" t="s">
        <v>152</v>
      </c>
      <c r="C193" s="213">
        <v>0.33</v>
      </c>
      <c r="D193" s="214">
        <f>C193</f>
        <v>0.33</v>
      </c>
      <c r="E193" s="214">
        <f>C193</f>
        <v>0.33</v>
      </c>
      <c r="F193" s="214">
        <f>C193</f>
        <v>0.33</v>
      </c>
      <c r="G193" s="214">
        <f>C193</f>
        <v>0.33</v>
      </c>
      <c r="H193" s="214">
        <f>C193</f>
        <v>0.33</v>
      </c>
      <c r="I193" s="214">
        <f>C193</f>
        <v>0.33</v>
      </c>
      <c r="J193" s="214">
        <f>C193</f>
        <v>0.33</v>
      </c>
      <c r="K193" s="214">
        <f>C193</f>
        <v>0.33</v>
      </c>
    </row>
    <row r="194" spans="1:11">
      <c r="A194" s="83" t="s">
        <v>1029</v>
      </c>
      <c r="B194" s="66" t="s">
        <v>152</v>
      </c>
      <c r="C194" s="211">
        <f t="shared" ref="C194:K194" si="91">MAX(0.1,1.5*C190)</f>
        <v>0.32850000000000001</v>
      </c>
      <c r="D194" s="211">
        <f t="shared" si="91"/>
        <v>0.32850000000000001</v>
      </c>
      <c r="E194" s="211">
        <f t="shared" si="91"/>
        <v>0.32850000000000001</v>
      </c>
      <c r="F194" s="211">
        <f t="shared" si="91"/>
        <v>0.32850000000000001</v>
      </c>
      <c r="G194" s="211">
        <f t="shared" si="91"/>
        <v>0.32850000000000001</v>
      </c>
      <c r="H194" s="211">
        <f t="shared" si="91"/>
        <v>0.32850000000000001</v>
      </c>
      <c r="I194" s="211">
        <f t="shared" si="91"/>
        <v>0.32850000000000001</v>
      </c>
      <c r="J194" s="211">
        <f t="shared" si="91"/>
        <v>0.32850000000000001</v>
      </c>
      <c r="K194" s="211">
        <f t="shared" si="91"/>
        <v>0.32850000000000001</v>
      </c>
    </row>
    <row r="195" spans="1:11">
      <c r="A195" s="83" t="s">
        <v>1030</v>
      </c>
      <c r="B195" s="66" t="s">
        <v>152</v>
      </c>
      <c r="C195" s="213">
        <v>0.33</v>
      </c>
      <c r="D195" s="214">
        <f>C195</f>
        <v>0.33</v>
      </c>
      <c r="E195" s="214">
        <f>C195</f>
        <v>0.33</v>
      </c>
      <c r="F195" s="214">
        <f>C195</f>
        <v>0.33</v>
      </c>
      <c r="G195" s="214">
        <f>C195</f>
        <v>0.33</v>
      </c>
      <c r="H195" s="214">
        <f>C195</f>
        <v>0.33</v>
      </c>
      <c r="I195" s="214">
        <f>C195</f>
        <v>0.33</v>
      </c>
      <c r="J195" s="214">
        <f>C195</f>
        <v>0.33</v>
      </c>
      <c r="K195" s="214">
        <f>C195</f>
        <v>0.33</v>
      </c>
    </row>
    <row r="196" spans="1:11">
      <c r="A196" s="83" t="s">
        <v>967</v>
      </c>
      <c r="B196" s="66" t="s">
        <v>152</v>
      </c>
      <c r="C196" s="213">
        <v>0.4</v>
      </c>
      <c r="D196" s="214">
        <f>C196</f>
        <v>0.4</v>
      </c>
      <c r="E196" s="214">
        <f>C196</f>
        <v>0.4</v>
      </c>
      <c r="F196" s="214">
        <f>C196</f>
        <v>0.4</v>
      </c>
      <c r="G196" s="214">
        <f>C196</f>
        <v>0.4</v>
      </c>
      <c r="H196" s="214">
        <f>C196</f>
        <v>0.4</v>
      </c>
      <c r="I196" s="214">
        <f>C196</f>
        <v>0.4</v>
      </c>
      <c r="J196" s="214">
        <f>C196</f>
        <v>0.4</v>
      </c>
      <c r="K196" s="214">
        <f>C196</f>
        <v>0.4</v>
      </c>
    </row>
    <row r="197" spans="1:11">
      <c r="A197" s="83"/>
      <c r="B197" s="66"/>
      <c r="C197" s="218"/>
      <c r="D197" s="218"/>
      <c r="E197" s="218"/>
      <c r="F197" s="218"/>
      <c r="G197" s="218"/>
      <c r="H197" s="218"/>
      <c r="I197" s="218"/>
      <c r="J197" s="218"/>
      <c r="K197" s="218"/>
    </row>
    <row r="198" spans="1:11">
      <c r="A198" s="233" t="s">
        <v>112</v>
      </c>
      <c r="B198" s="66"/>
      <c r="C198" s="209">
        <v>1</v>
      </c>
      <c r="D198" s="219">
        <f>C198</f>
        <v>1</v>
      </c>
      <c r="E198" s="219">
        <f>C198</f>
        <v>1</v>
      </c>
      <c r="F198" s="219">
        <f>C198</f>
        <v>1</v>
      </c>
      <c r="G198" s="219">
        <f>C198</f>
        <v>1</v>
      </c>
      <c r="H198" s="219">
        <f>C198</f>
        <v>1</v>
      </c>
      <c r="I198" s="219">
        <f>C198</f>
        <v>1</v>
      </c>
      <c r="J198" s="219">
        <f>C198</f>
        <v>1</v>
      </c>
      <c r="K198" s="219">
        <f>C198</f>
        <v>1</v>
      </c>
    </row>
    <row r="199" spans="1:11">
      <c r="A199" s="83"/>
      <c r="B199" s="66"/>
      <c r="C199" s="218"/>
      <c r="D199" s="218"/>
      <c r="E199" s="218"/>
      <c r="F199" s="218"/>
      <c r="G199" s="218"/>
      <c r="H199" s="218"/>
      <c r="I199" s="218"/>
      <c r="J199" s="218"/>
      <c r="K199" s="218"/>
    </row>
    <row r="200" spans="1:11">
      <c r="A200" s="225" t="s">
        <v>1036</v>
      </c>
      <c r="B200" s="66"/>
      <c r="C200" s="127">
        <v>1.5</v>
      </c>
      <c r="D200" s="217">
        <f>C200</f>
        <v>1.5</v>
      </c>
      <c r="E200" s="217">
        <f>C200</f>
        <v>1.5</v>
      </c>
      <c r="F200" s="217">
        <f>C200</f>
        <v>1.5</v>
      </c>
      <c r="G200" s="217">
        <f>C200</f>
        <v>1.5</v>
      </c>
      <c r="H200" s="217">
        <f>C200</f>
        <v>1.5</v>
      </c>
      <c r="I200" s="217">
        <f>C200</f>
        <v>1.5</v>
      </c>
      <c r="J200" s="217">
        <f>C200</f>
        <v>1.5</v>
      </c>
      <c r="K200" s="217">
        <f>C200</f>
        <v>1.5</v>
      </c>
    </row>
    <row r="201" spans="1:11">
      <c r="A201" s="83" t="s">
        <v>1037</v>
      </c>
      <c r="B201" s="66"/>
      <c r="C201" s="127">
        <v>2.75</v>
      </c>
      <c r="D201" s="217">
        <f>C201</f>
        <v>2.75</v>
      </c>
      <c r="E201" s="217">
        <f>C201</f>
        <v>2.75</v>
      </c>
      <c r="F201" s="217">
        <f>C201</f>
        <v>2.75</v>
      </c>
      <c r="G201" s="217">
        <f>C201</f>
        <v>2.75</v>
      </c>
      <c r="H201" s="217">
        <f>C201</f>
        <v>2.75</v>
      </c>
      <c r="I201" s="217">
        <f>C201</f>
        <v>2.75</v>
      </c>
      <c r="J201" s="217">
        <f>C201</f>
        <v>2.75</v>
      </c>
      <c r="K201" s="217">
        <f>C201</f>
        <v>2.75</v>
      </c>
    </row>
    <row r="202" spans="1:11">
      <c r="A202" s="83"/>
      <c r="B202" s="66"/>
      <c r="C202" s="218"/>
      <c r="D202" s="218"/>
      <c r="E202" s="218"/>
      <c r="F202" s="218"/>
      <c r="G202" s="218"/>
      <c r="H202" s="218"/>
      <c r="I202" s="218"/>
      <c r="J202" s="218"/>
      <c r="K202" s="218"/>
    </row>
    <row r="203" spans="1:11">
      <c r="A203" s="228" t="s">
        <v>1042</v>
      </c>
      <c r="B203" s="66"/>
      <c r="C203" s="219">
        <f>EVEN(ROUND(PI()*C46/C196,0))</f>
        <v>40</v>
      </c>
      <c r="D203" s="219">
        <f t="shared" ref="D203:K203" si="92">EVEN(ROUND(PI()*D46/D196,0))</f>
        <v>28</v>
      </c>
      <c r="E203" s="219">
        <f t="shared" si="92"/>
        <v>24</v>
      </c>
      <c r="F203" s="219">
        <f t="shared" si="92"/>
        <v>24</v>
      </c>
      <c r="G203" s="219">
        <f t="shared" si="92"/>
        <v>26</v>
      </c>
      <c r="H203" s="219">
        <f t="shared" si="92"/>
        <v>26</v>
      </c>
      <c r="I203" s="219">
        <f t="shared" si="92"/>
        <v>28</v>
      </c>
      <c r="J203" s="219">
        <f t="shared" si="92"/>
        <v>30</v>
      </c>
      <c r="K203" s="219">
        <f t="shared" si="92"/>
        <v>30</v>
      </c>
    </row>
    <row r="204" spans="1:11">
      <c r="A204" s="228" t="s">
        <v>1043</v>
      </c>
      <c r="B204" s="66"/>
      <c r="C204" s="219">
        <f>EVEN(ROUND(C203/C198,0))</f>
        <v>40</v>
      </c>
      <c r="D204" s="219">
        <f t="shared" ref="D204:K204" si="93">EVEN(ROUND(D203/D198,0))</f>
        <v>28</v>
      </c>
      <c r="E204" s="219">
        <f t="shared" si="93"/>
        <v>24</v>
      </c>
      <c r="F204" s="219">
        <f t="shared" si="93"/>
        <v>24</v>
      </c>
      <c r="G204" s="219">
        <f t="shared" si="93"/>
        <v>26</v>
      </c>
      <c r="H204" s="219">
        <f t="shared" si="93"/>
        <v>26</v>
      </c>
      <c r="I204" s="219">
        <f t="shared" si="93"/>
        <v>28</v>
      </c>
      <c r="J204" s="219">
        <f t="shared" si="93"/>
        <v>30</v>
      </c>
      <c r="K204" s="219">
        <f t="shared" si="93"/>
        <v>30</v>
      </c>
    </row>
    <row r="205" spans="1:11">
      <c r="A205" s="229" t="s">
        <v>1044</v>
      </c>
      <c r="B205" s="66"/>
      <c r="C205" s="219">
        <f>EVEN(ROUND(PI()*C47/C196,0))</f>
        <v>50</v>
      </c>
      <c r="D205" s="219">
        <f t="shared" ref="D205:K205" si="94">EVEN(ROUND(PI()*D47/D196,0))</f>
        <v>34</v>
      </c>
      <c r="E205" s="219">
        <f t="shared" si="94"/>
        <v>28</v>
      </c>
      <c r="F205" s="219">
        <f t="shared" si="94"/>
        <v>28</v>
      </c>
      <c r="G205" s="219">
        <f t="shared" si="94"/>
        <v>28</v>
      </c>
      <c r="H205" s="219">
        <f t="shared" si="94"/>
        <v>28</v>
      </c>
      <c r="I205" s="219">
        <f t="shared" si="94"/>
        <v>30</v>
      </c>
      <c r="J205" s="219">
        <f t="shared" si="94"/>
        <v>32</v>
      </c>
      <c r="K205" s="219">
        <f t="shared" si="94"/>
        <v>32</v>
      </c>
    </row>
    <row r="206" spans="1:11">
      <c r="A206" s="229" t="s">
        <v>1045</v>
      </c>
      <c r="B206" s="66"/>
      <c r="C206" s="219">
        <f>EVEN(ROUND(C205/C198,0))</f>
        <v>50</v>
      </c>
      <c r="D206" s="219">
        <f t="shared" ref="D206:K206" si="95">EVEN(ROUND(D205/D198,0))</f>
        <v>34</v>
      </c>
      <c r="E206" s="219">
        <f t="shared" si="95"/>
        <v>28</v>
      </c>
      <c r="F206" s="219">
        <f t="shared" si="95"/>
        <v>28</v>
      </c>
      <c r="G206" s="219">
        <f t="shared" si="95"/>
        <v>28</v>
      </c>
      <c r="H206" s="219">
        <f t="shared" si="95"/>
        <v>28</v>
      </c>
      <c r="I206" s="219">
        <f t="shared" si="95"/>
        <v>30</v>
      </c>
      <c r="J206" s="219">
        <f t="shared" si="95"/>
        <v>32</v>
      </c>
      <c r="K206" s="219">
        <f t="shared" si="95"/>
        <v>32</v>
      </c>
    </row>
    <row r="207" spans="1:11">
      <c r="A207" s="83"/>
      <c r="B207" s="66"/>
      <c r="C207" s="218"/>
      <c r="D207" s="218"/>
      <c r="E207" s="218"/>
      <c r="F207" s="218"/>
      <c r="G207" s="218"/>
      <c r="H207" s="218"/>
      <c r="I207" s="218"/>
      <c r="J207" s="218"/>
      <c r="K207" s="218"/>
    </row>
    <row r="208" spans="1:11">
      <c r="A208" s="228" t="s">
        <v>1047</v>
      </c>
      <c r="B208" s="66" t="s">
        <v>152</v>
      </c>
      <c r="C208" s="214">
        <f t="shared" ref="C208:K208" si="96">C203*C196/PI()</f>
        <v>5.0929581789406511</v>
      </c>
      <c r="D208" s="214">
        <f t="shared" si="96"/>
        <v>3.5650707252584559</v>
      </c>
      <c r="E208" s="214">
        <f t="shared" si="96"/>
        <v>3.0557749073643912</v>
      </c>
      <c r="F208" s="214">
        <f t="shared" si="96"/>
        <v>3.0557749073643912</v>
      </c>
      <c r="G208" s="214">
        <f t="shared" si="96"/>
        <v>3.3104228163114233</v>
      </c>
      <c r="H208" s="214">
        <f t="shared" si="96"/>
        <v>3.3104228163114233</v>
      </c>
      <c r="I208" s="214">
        <f t="shared" si="96"/>
        <v>3.5650707252584559</v>
      </c>
      <c r="J208" s="214">
        <f t="shared" si="96"/>
        <v>3.8197186342054881</v>
      </c>
      <c r="K208" s="214">
        <f t="shared" si="96"/>
        <v>3.8197186342054881</v>
      </c>
    </row>
    <row r="209" spans="1:11">
      <c r="A209" s="229" t="s">
        <v>1046</v>
      </c>
      <c r="B209" s="66" t="s">
        <v>152</v>
      </c>
      <c r="C209" s="214">
        <f t="shared" ref="C209:K209" si="97">C205*C196/PI()</f>
        <v>6.366197723675814</v>
      </c>
      <c r="D209" s="214">
        <f t="shared" si="97"/>
        <v>4.3290144520995542</v>
      </c>
      <c r="E209" s="214">
        <f t="shared" si="97"/>
        <v>3.5650707252584559</v>
      </c>
      <c r="F209" s="214">
        <f t="shared" si="97"/>
        <v>3.5650707252584559</v>
      </c>
      <c r="G209" s="214">
        <f t="shared" si="97"/>
        <v>3.5650707252584559</v>
      </c>
      <c r="H209" s="214">
        <f t="shared" si="97"/>
        <v>3.5650707252584559</v>
      </c>
      <c r="I209" s="214">
        <f t="shared" si="97"/>
        <v>3.8197186342054881</v>
      </c>
      <c r="J209" s="214">
        <f t="shared" si="97"/>
        <v>4.0743665431525207</v>
      </c>
      <c r="K209" s="214">
        <f t="shared" si="97"/>
        <v>4.0743665431525207</v>
      </c>
    </row>
    <row r="210" spans="1:11">
      <c r="A210" s="83"/>
      <c r="B210" s="66"/>
      <c r="C210" s="218"/>
      <c r="D210" s="218"/>
      <c r="E210" s="218"/>
      <c r="F210" s="218"/>
      <c r="G210" s="218"/>
      <c r="H210" s="218"/>
      <c r="I210" s="218"/>
      <c r="J210" s="218"/>
      <c r="K210" s="218"/>
    </row>
    <row r="211" spans="1:11" ht="45">
      <c r="A211" s="230" t="s">
        <v>1048</v>
      </c>
      <c r="B211" s="216" t="s">
        <v>152</v>
      </c>
      <c r="C211" s="214">
        <f>C200*C208</f>
        <v>7.6394372684109761</v>
      </c>
      <c r="D211" s="214">
        <f t="shared" ref="D211:K211" si="98">D200*D208</f>
        <v>5.3476060878876837</v>
      </c>
      <c r="E211" s="214">
        <f t="shared" si="98"/>
        <v>4.5836623610465868</v>
      </c>
      <c r="F211" s="214">
        <f t="shared" si="98"/>
        <v>4.5836623610465868</v>
      </c>
      <c r="G211" s="214">
        <f t="shared" si="98"/>
        <v>4.9656342244671352</v>
      </c>
      <c r="H211" s="214">
        <f t="shared" si="98"/>
        <v>4.9656342244671352</v>
      </c>
      <c r="I211" s="214">
        <f t="shared" si="98"/>
        <v>5.3476060878876837</v>
      </c>
      <c r="J211" s="214">
        <f t="shared" si="98"/>
        <v>5.7295779513082321</v>
      </c>
      <c r="K211" s="214">
        <f t="shared" si="98"/>
        <v>5.7295779513082321</v>
      </c>
    </row>
    <row r="212" spans="1:11" ht="45">
      <c r="A212" s="231" t="s">
        <v>1049</v>
      </c>
      <c r="B212" s="150" t="s">
        <v>152</v>
      </c>
      <c r="C212" s="214">
        <f>C209*C200</f>
        <v>9.5492965855137211</v>
      </c>
      <c r="D212" s="214">
        <f t="shared" ref="D212:K212" si="99">D209*D200</f>
        <v>6.4935216781493317</v>
      </c>
      <c r="E212" s="214">
        <f t="shared" si="99"/>
        <v>5.3476060878876837</v>
      </c>
      <c r="F212" s="214">
        <f t="shared" si="99"/>
        <v>5.3476060878876837</v>
      </c>
      <c r="G212" s="214">
        <f t="shared" si="99"/>
        <v>5.3476060878876837</v>
      </c>
      <c r="H212" s="214">
        <f t="shared" si="99"/>
        <v>5.3476060878876837</v>
      </c>
      <c r="I212" s="214">
        <f t="shared" si="99"/>
        <v>5.7295779513082321</v>
      </c>
      <c r="J212" s="214">
        <f t="shared" si="99"/>
        <v>6.1115498147287806</v>
      </c>
      <c r="K212" s="214">
        <f t="shared" si="99"/>
        <v>6.1115498147287806</v>
      </c>
    </row>
    <row r="213" spans="1:11">
      <c r="A213" s="83"/>
      <c r="B213" s="66"/>
      <c r="C213" s="218"/>
      <c r="D213" s="218"/>
      <c r="E213" s="218"/>
      <c r="F213" s="218"/>
      <c r="G213" s="218"/>
      <c r="H213" s="218"/>
      <c r="I213" s="218"/>
      <c r="J213" s="218"/>
      <c r="K213" s="218"/>
    </row>
    <row r="214" spans="1:11" ht="45">
      <c r="A214" s="230" t="s">
        <v>1050</v>
      </c>
      <c r="B214" s="150" t="s">
        <v>152</v>
      </c>
      <c r="C214" s="214">
        <f>C208*C201</f>
        <v>14.00563499208679</v>
      </c>
      <c r="D214" s="214">
        <f t="shared" ref="D214:K214" si="100">D208*D201</f>
        <v>9.8039444944607546</v>
      </c>
      <c r="E214" s="214">
        <f t="shared" si="100"/>
        <v>8.4033809952520748</v>
      </c>
      <c r="F214" s="214">
        <f t="shared" si="100"/>
        <v>8.4033809952520748</v>
      </c>
      <c r="G214" s="214">
        <f t="shared" si="100"/>
        <v>9.1036627448564147</v>
      </c>
      <c r="H214" s="214">
        <f t="shared" si="100"/>
        <v>9.1036627448564147</v>
      </c>
      <c r="I214" s="214">
        <f t="shared" si="100"/>
        <v>9.8039444944607546</v>
      </c>
      <c r="J214" s="214">
        <f t="shared" si="100"/>
        <v>10.504226244065093</v>
      </c>
      <c r="K214" s="214">
        <f t="shared" si="100"/>
        <v>10.504226244065093</v>
      </c>
    </row>
    <row r="215" spans="1:11" ht="45">
      <c r="A215" s="231" t="s">
        <v>1051</v>
      </c>
      <c r="B215" s="150" t="s">
        <v>152</v>
      </c>
      <c r="C215" s="214">
        <f>C209*C201</f>
        <v>17.50704374010849</v>
      </c>
      <c r="D215" s="214">
        <f t="shared" ref="D215:K215" si="101">D209*D201</f>
        <v>11.904789743273774</v>
      </c>
      <c r="E215" s="214">
        <f t="shared" si="101"/>
        <v>9.8039444944607546</v>
      </c>
      <c r="F215" s="214">
        <f t="shared" si="101"/>
        <v>9.8039444944607546</v>
      </c>
      <c r="G215" s="214">
        <f t="shared" si="101"/>
        <v>9.8039444944607546</v>
      </c>
      <c r="H215" s="214">
        <f t="shared" si="101"/>
        <v>9.8039444944607546</v>
      </c>
      <c r="I215" s="214">
        <f t="shared" si="101"/>
        <v>10.504226244065093</v>
      </c>
      <c r="J215" s="214">
        <f t="shared" si="101"/>
        <v>11.204507993669433</v>
      </c>
      <c r="K215" s="214">
        <f t="shared" si="101"/>
        <v>11.204507993669433</v>
      </c>
    </row>
    <row r="216" spans="1:11">
      <c r="A216" s="83"/>
      <c r="B216" s="66"/>
      <c r="C216" s="218"/>
      <c r="D216" s="218"/>
      <c r="E216" s="218"/>
      <c r="F216" s="218"/>
      <c r="G216" s="218"/>
      <c r="H216" s="218"/>
      <c r="I216" s="218"/>
      <c r="J216" s="218"/>
      <c r="K216" s="218"/>
    </row>
    <row r="217" spans="1:11">
      <c r="A217" s="234" t="s">
        <v>1052</v>
      </c>
      <c r="B217" s="66"/>
      <c r="C217" s="209">
        <f>C206</f>
        <v>50</v>
      </c>
      <c r="D217" s="209">
        <f t="shared" ref="D217:K217" si="102">D206</f>
        <v>34</v>
      </c>
      <c r="E217" s="209">
        <f t="shared" si="102"/>
        <v>28</v>
      </c>
      <c r="F217" s="209">
        <f t="shared" si="102"/>
        <v>28</v>
      </c>
      <c r="G217" s="209">
        <f t="shared" si="102"/>
        <v>28</v>
      </c>
      <c r="H217" s="209">
        <f t="shared" si="102"/>
        <v>28</v>
      </c>
      <c r="I217" s="209">
        <f t="shared" si="102"/>
        <v>30</v>
      </c>
      <c r="J217" s="209">
        <f t="shared" si="102"/>
        <v>32</v>
      </c>
      <c r="K217" s="209">
        <f t="shared" si="102"/>
        <v>32</v>
      </c>
    </row>
    <row r="218" spans="1:11">
      <c r="A218" s="83" t="s">
        <v>1053</v>
      </c>
      <c r="B218" s="66"/>
      <c r="C218" s="219">
        <f t="shared" ref="C218" si="103">C217*C198</f>
        <v>50</v>
      </c>
      <c r="D218" s="219">
        <f t="shared" ref="D218" si="104">D217*D198</f>
        <v>34</v>
      </c>
      <c r="E218" s="219">
        <f t="shared" ref="E218" si="105">E217*E198</f>
        <v>28</v>
      </c>
      <c r="F218" s="219">
        <f t="shared" ref="F218" si="106">F217*F198</f>
        <v>28</v>
      </c>
      <c r="G218" s="219">
        <f t="shared" ref="G218" si="107">G217*G198</f>
        <v>28</v>
      </c>
      <c r="H218" s="219">
        <f t="shared" ref="H218" si="108">H217*H198</f>
        <v>28</v>
      </c>
      <c r="I218" s="219">
        <f t="shared" ref="I218" si="109">I217*I198</f>
        <v>30</v>
      </c>
      <c r="J218" s="219">
        <f t="shared" ref="J218" si="110">J217*J198</f>
        <v>32</v>
      </c>
      <c r="K218" s="219">
        <f t="shared" ref="K218" si="111">K217*K198</f>
        <v>32</v>
      </c>
    </row>
    <row r="219" spans="1:11">
      <c r="A219" s="83"/>
      <c r="B219" s="66"/>
      <c r="C219" s="218"/>
      <c r="D219" s="218"/>
      <c r="E219" s="218"/>
      <c r="F219" s="218"/>
      <c r="G219" s="218"/>
      <c r="H219" s="218"/>
      <c r="I219" s="218"/>
      <c r="J219" s="218"/>
      <c r="K219" s="218"/>
    </row>
    <row r="220" spans="1:11">
      <c r="A220" s="233" t="s">
        <v>1054</v>
      </c>
      <c r="B220" s="66" t="s">
        <v>152</v>
      </c>
      <c r="C220" s="214">
        <f t="shared" ref="C220:K220" si="112">C218*C196/PI()</f>
        <v>6.366197723675814</v>
      </c>
      <c r="D220" s="214">
        <f t="shared" si="112"/>
        <v>4.3290144520995542</v>
      </c>
      <c r="E220" s="214">
        <f t="shared" si="112"/>
        <v>3.5650707252584559</v>
      </c>
      <c r="F220" s="214">
        <f t="shared" si="112"/>
        <v>3.5650707252584559</v>
      </c>
      <c r="G220" s="214">
        <f t="shared" si="112"/>
        <v>3.5650707252584559</v>
      </c>
      <c r="H220" s="214">
        <f t="shared" si="112"/>
        <v>3.5650707252584559</v>
      </c>
      <c r="I220" s="214">
        <f t="shared" si="112"/>
        <v>3.8197186342054881</v>
      </c>
      <c r="J220" s="214">
        <f t="shared" si="112"/>
        <v>4.0743665431525207</v>
      </c>
      <c r="K220" s="214">
        <f t="shared" si="112"/>
        <v>4.0743665431525207</v>
      </c>
    </row>
    <row r="221" spans="1:11">
      <c r="A221" s="83"/>
      <c r="B221" s="66"/>
      <c r="C221" s="218"/>
      <c r="D221" s="218"/>
      <c r="E221" s="218"/>
      <c r="F221" s="218"/>
      <c r="G221" s="218"/>
      <c r="H221" s="218"/>
      <c r="I221" s="218"/>
      <c r="J221" s="218"/>
      <c r="K221" s="218"/>
    </row>
    <row r="222" spans="1:11" ht="30">
      <c r="A222" s="79" t="s">
        <v>1057</v>
      </c>
      <c r="B222" s="66" t="s">
        <v>152</v>
      </c>
      <c r="C222" s="214">
        <f>C220*C200</f>
        <v>9.5492965855137211</v>
      </c>
      <c r="D222" s="214">
        <f t="shared" ref="D222:K222" si="113">D220*D200</f>
        <v>6.4935216781493317</v>
      </c>
      <c r="E222" s="214">
        <f t="shared" si="113"/>
        <v>5.3476060878876837</v>
      </c>
      <c r="F222" s="214">
        <f t="shared" si="113"/>
        <v>5.3476060878876837</v>
      </c>
      <c r="G222" s="214">
        <f t="shared" si="113"/>
        <v>5.3476060878876837</v>
      </c>
      <c r="H222" s="214">
        <f t="shared" si="113"/>
        <v>5.3476060878876837</v>
      </c>
      <c r="I222" s="214">
        <f t="shared" si="113"/>
        <v>5.7295779513082321</v>
      </c>
      <c r="J222" s="214">
        <f t="shared" si="113"/>
        <v>6.1115498147287806</v>
      </c>
      <c r="K222" s="214">
        <f t="shared" si="113"/>
        <v>6.1115498147287806</v>
      </c>
    </row>
    <row r="223" spans="1:11">
      <c r="A223" s="79" t="s">
        <v>1058</v>
      </c>
      <c r="B223" s="66" t="s">
        <v>152</v>
      </c>
      <c r="C223" s="210">
        <f>C34</f>
        <v>2.6</v>
      </c>
      <c r="D223" s="210">
        <f t="shared" ref="D223:K223" si="114">D34</f>
        <v>3.4857142857142858</v>
      </c>
      <c r="E223" s="210">
        <f t="shared" si="114"/>
        <v>4.4799999999999995</v>
      </c>
      <c r="F223" s="210">
        <f t="shared" si="114"/>
        <v>5.1999999999999993</v>
      </c>
      <c r="G223" s="210">
        <f t="shared" si="114"/>
        <v>6.4799999999999995</v>
      </c>
      <c r="H223" s="210">
        <f t="shared" si="114"/>
        <v>6.4799999999999995</v>
      </c>
      <c r="I223" s="210">
        <f t="shared" si="114"/>
        <v>8.8999999999999986</v>
      </c>
      <c r="J223" s="210">
        <f t="shared" si="114"/>
        <v>8.8999999999999986</v>
      </c>
      <c r="K223" s="210">
        <f t="shared" si="114"/>
        <v>8.8999999999999986</v>
      </c>
    </row>
    <row r="224" spans="1:11" ht="30">
      <c r="A224" s="79" t="s">
        <v>1059</v>
      </c>
      <c r="B224" s="66" t="s">
        <v>152</v>
      </c>
      <c r="C224" s="214">
        <f>C220*C201</f>
        <v>17.50704374010849</v>
      </c>
      <c r="D224" s="214">
        <f t="shared" ref="D224:K224" si="115">D220*D201</f>
        <v>11.904789743273774</v>
      </c>
      <c r="E224" s="214">
        <f t="shared" si="115"/>
        <v>9.8039444944607546</v>
      </c>
      <c r="F224" s="214">
        <f t="shared" si="115"/>
        <v>9.8039444944607546</v>
      </c>
      <c r="G224" s="214">
        <f t="shared" si="115"/>
        <v>9.8039444944607546</v>
      </c>
      <c r="H224" s="214">
        <f t="shared" si="115"/>
        <v>9.8039444944607546</v>
      </c>
      <c r="I224" s="214">
        <f t="shared" si="115"/>
        <v>10.504226244065093</v>
      </c>
      <c r="J224" s="214">
        <f t="shared" si="115"/>
        <v>11.204507993669433</v>
      </c>
      <c r="K224" s="214">
        <f t="shared" si="115"/>
        <v>11.204507993669433</v>
      </c>
    </row>
    <row r="225" spans="1:11">
      <c r="A225" s="83" t="s">
        <v>1060</v>
      </c>
      <c r="B225" s="66" t="s">
        <v>152</v>
      </c>
      <c r="C225" s="210">
        <f>1.5*C21</f>
        <v>3</v>
      </c>
      <c r="D225" s="210">
        <f t="shared" ref="D225:K225" si="116">1.5*D21</f>
        <v>3.6642857142857146</v>
      </c>
      <c r="E225" s="210">
        <f t="shared" si="116"/>
        <v>4.08</v>
      </c>
      <c r="F225" s="210">
        <f t="shared" si="116"/>
        <v>4.3499999999999996</v>
      </c>
      <c r="G225" s="210">
        <f t="shared" si="116"/>
        <v>5.0999999999999996</v>
      </c>
      <c r="H225" s="210">
        <f t="shared" si="116"/>
        <v>5.0999999999999996</v>
      </c>
      <c r="I225" s="210">
        <f t="shared" si="116"/>
        <v>6.2999999999999989</v>
      </c>
      <c r="J225" s="210">
        <f t="shared" si="116"/>
        <v>6.2999999999999989</v>
      </c>
      <c r="K225" s="210">
        <f t="shared" si="116"/>
        <v>6.2999999999999989</v>
      </c>
    </row>
    <row r="226" spans="1:11" ht="30">
      <c r="A226" s="79" t="s">
        <v>1061</v>
      </c>
      <c r="B226" s="66" t="s">
        <v>152</v>
      </c>
      <c r="C226" s="210">
        <f>18.3+C191+0.5*C190+C193+C196</f>
        <v>19.439499999999999</v>
      </c>
      <c r="D226" s="210">
        <f t="shared" ref="D226:K226" si="117">18.3+D191+0.5*D190+D193+D196</f>
        <v>19.439499999999999</v>
      </c>
      <c r="E226" s="210">
        <f t="shared" si="117"/>
        <v>19.439499999999999</v>
      </c>
      <c r="F226" s="210">
        <f t="shared" si="117"/>
        <v>19.439499999999999</v>
      </c>
      <c r="G226" s="210">
        <f t="shared" si="117"/>
        <v>19.439499999999999</v>
      </c>
      <c r="H226" s="210">
        <f t="shared" si="117"/>
        <v>19.439499999999999</v>
      </c>
      <c r="I226" s="210">
        <f t="shared" si="117"/>
        <v>19.439499999999999</v>
      </c>
      <c r="J226" s="210">
        <f t="shared" si="117"/>
        <v>19.439499999999999</v>
      </c>
      <c r="K226" s="210">
        <f t="shared" si="117"/>
        <v>19.439499999999999</v>
      </c>
    </row>
    <row r="227" spans="1:11">
      <c r="A227" s="79"/>
      <c r="B227" s="66"/>
      <c r="C227" s="218"/>
      <c r="D227" s="218"/>
      <c r="E227" s="218"/>
      <c r="F227" s="218"/>
      <c r="G227" s="218"/>
      <c r="H227" s="218"/>
      <c r="I227" s="218"/>
      <c r="J227" s="218"/>
      <c r="K227" s="218"/>
    </row>
    <row r="228" spans="1:11">
      <c r="A228" s="232" t="s">
        <v>1067</v>
      </c>
      <c r="B228" s="235" t="s">
        <v>152</v>
      </c>
      <c r="C228" s="236">
        <f>MAX(C222,C223,C225)</f>
        <v>9.5492965855137211</v>
      </c>
      <c r="D228" s="236">
        <f t="shared" ref="D228:K228" si="118">MAX(D222,D223,D225)</f>
        <v>6.4935216781493317</v>
      </c>
      <c r="E228" s="236">
        <f t="shared" si="118"/>
        <v>5.3476060878876837</v>
      </c>
      <c r="F228" s="236">
        <f t="shared" si="118"/>
        <v>5.3476060878876837</v>
      </c>
      <c r="G228" s="236">
        <f t="shared" si="118"/>
        <v>6.4799999999999995</v>
      </c>
      <c r="H228" s="236">
        <f t="shared" si="118"/>
        <v>6.4799999999999995</v>
      </c>
      <c r="I228" s="236">
        <f t="shared" si="118"/>
        <v>8.8999999999999986</v>
      </c>
      <c r="J228" s="236">
        <f t="shared" si="118"/>
        <v>8.8999999999999986</v>
      </c>
      <c r="K228" s="236">
        <f t="shared" si="118"/>
        <v>8.8999999999999986</v>
      </c>
    </row>
    <row r="229" spans="1:11">
      <c r="A229" s="232" t="s">
        <v>1068</v>
      </c>
      <c r="B229" s="235" t="s">
        <v>152</v>
      </c>
      <c r="C229" s="236">
        <f>MIN(C226,C224)</f>
        <v>17.50704374010849</v>
      </c>
      <c r="D229" s="236">
        <f t="shared" ref="D229:K229" si="119">MIN(D226,D224)</f>
        <v>11.904789743273774</v>
      </c>
      <c r="E229" s="236">
        <f t="shared" si="119"/>
        <v>9.8039444944607546</v>
      </c>
      <c r="F229" s="236">
        <f t="shared" si="119"/>
        <v>9.8039444944607546</v>
      </c>
      <c r="G229" s="236">
        <f t="shared" si="119"/>
        <v>9.8039444944607546</v>
      </c>
      <c r="H229" s="236">
        <f t="shared" si="119"/>
        <v>9.8039444944607546</v>
      </c>
      <c r="I229" s="236">
        <f t="shared" si="119"/>
        <v>10.504226244065093</v>
      </c>
      <c r="J229" s="236">
        <f t="shared" si="119"/>
        <v>11.204507993669433</v>
      </c>
      <c r="K229" s="236">
        <f t="shared" si="119"/>
        <v>11.204507993669433</v>
      </c>
    </row>
    <row r="230" spans="1:11">
      <c r="A230" s="79"/>
      <c r="B230" s="66"/>
      <c r="C230" s="218"/>
      <c r="D230" s="218"/>
      <c r="E230" s="218"/>
      <c r="F230" s="218"/>
      <c r="G230" s="218"/>
      <c r="H230" s="218"/>
      <c r="I230" s="218"/>
      <c r="J230" s="218"/>
      <c r="K230" s="218"/>
    </row>
    <row r="231" spans="1:11">
      <c r="A231" s="79" t="s">
        <v>1069</v>
      </c>
      <c r="B231" s="66"/>
      <c r="C231" s="210">
        <f>C228/C220</f>
        <v>1.5</v>
      </c>
      <c r="D231" s="210">
        <f t="shared" ref="D231:K231" si="120">D228/D220</f>
        <v>1.5</v>
      </c>
      <c r="E231" s="210">
        <f t="shared" si="120"/>
        <v>1.5</v>
      </c>
      <c r="F231" s="210">
        <f t="shared" si="120"/>
        <v>1.5</v>
      </c>
      <c r="G231" s="210">
        <f t="shared" si="120"/>
        <v>1.8176357495769515</v>
      </c>
      <c r="H231" s="210">
        <f t="shared" si="120"/>
        <v>1.8176357495769515</v>
      </c>
      <c r="I231" s="210">
        <f t="shared" si="120"/>
        <v>2.3300145514124297</v>
      </c>
      <c r="J231" s="210">
        <f t="shared" si="120"/>
        <v>2.1843886419491527</v>
      </c>
      <c r="K231" s="210">
        <f t="shared" si="120"/>
        <v>2.1843886419491527</v>
      </c>
    </row>
    <row r="232" spans="1:11">
      <c r="A232" s="79" t="s">
        <v>1070</v>
      </c>
      <c r="B232" s="66"/>
      <c r="C232" s="210">
        <f>C229/C220</f>
        <v>2.75</v>
      </c>
      <c r="D232" s="210">
        <f t="shared" ref="D232:K232" si="121">D229/D220</f>
        <v>2.75</v>
      </c>
      <c r="E232" s="210">
        <f t="shared" si="121"/>
        <v>2.75</v>
      </c>
      <c r="F232" s="210">
        <f t="shared" si="121"/>
        <v>2.75</v>
      </c>
      <c r="G232" s="210">
        <f t="shared" si="121"/>
        <v>2.75</v>
      </c>
      <c r="H232" s="210">
        <f t="shared" si="121"/>
        <v>2.75</v>
      </c>
      <c r="I232" s="210">
        <f t="shared" si="121"/>
        <v>2.75</v>
      </c>
      <c r="J232" s="210">
        <f t="shared" si="121"/>
        <v>2.75</v>
      </c>
      <c r="K232" s="210">
        <f t="shared" si="121"/>
        <v>2.75</v>
      </c>
    </row>
    <row r="233" spans="1:11">
      <c r="A233" s="79"/>
      <c r="B233" s="66"/>
      <c r="C233" s="218"/>
      <c r="D233" s="218"/>
      <c r="E233" s="218"/>
      <c r="F233" s="218"/>
      <c r="G233" s="218"/>
      <c r="H233" s="218"/>
      <c r="I233" s="218"/>
      <c r="J233" s="218"/>
      <c r="K233" s="218"/>
    </row>
    <row r="234" spans="1:11">
      <c r="A234" s="79" t="s">
        <v>1071</v>
      </c>
      <c r="B234" s="66" t="s">
        <v>152</v>
      </c>
      <c r="C234" s="210">
        <f>C228-C196-C190*0.5-C191-C193</f>
        <v>8.4097965855137193</v>
      </c>
      <c r="D234" s="210">
        <f t="shared" ref="D234:K234" si="122">D228-D196-D190*0.5-D191-D193</f>
        <v>5.3540216781493317</v>
      </c>
      <c r="E234" s="210">
        <f t="shared" si="122"/>
        <v>4.2081060878876837</v>
      </c>
      <c r="F234" s="210">
        <f t="shared" si="122"/>
        <v>4.2081060878876837</v>
      </c>
      <c r="G234" s="210">
        <f t="shared" si="122"/>
        <v>5.3404999999999996</v>
      </c>
      <c r="H234" s="210">
        <f t="shared" si="122"/>
        <v>5.3404999999999996</v>
      </c>
      <c r="I234" s="210">
        <f t="shared" si="122"/>
        <v>7.7604999999999968</v>
      </c>
      <c r="J234" s="210">
        <f t="shared" si="122"/>
        <v>7.7604999999999968</v>
      </c>
      <c r="K234" s="210">
        <f t="shared" si="122"/>
        <v>7.7604999999999968</v>
      </c>
    </row>
    <row r="235" spans="1:11">
      <c r="A235" s="79" t="s">
        <v>1072</v>
      </c>
      <c r="B235" s="66" t="s">
        <v>152</v>
      </c>
      <c r="C235" s="210">
        <f>C229-C196-C190*0.5-C191-C193</f>
        <v>16.367543740108491</v>
      </c>
      <c r="D235" s="210">
        <f t="shared" ref="D235:K235" si="123">D229-D196-D190*0.5-D191-D193</f>
        <v>10.765289743273772</v>
      </c>
      <c r="E235" s="210">
        <f t="shared" si="123"/>
        <v>8.6644444944607528</v>
      </c>
      <c r="F235" s="210">
        <f t="shared" si="123"/>
        <v>8.6644444944607528</v>
      </c>
      <c r="G235" s="210">
        <f t="shared" si="123"/>
        <v>8.6644444944607528</v>
      </c>
      <c r="H235" s="210">
        <f t="shared" si="123"/>
        <v>8.6644444944607528</v>
      </c>
      <c r="I235" s="210">
        <f t="shared" si="123"/>
        <v>9.3647262440650909</v>
      </c>
      <c r="J235" s="210">
        <f t="shared" si="123"/>
        <v>10.065007993669431</v>
      </c>
      <c r="K235" s="210">
        <f t="shared" si="123"/>
        <v>10.065007993669431</v>
      </c>
    </row>
    <row r="236" spans="1:11">
      <c r="A236" s="79"/>
      <c r="B236" s="66"/>
      <c r="C236" s="218"/>
      <c r="D236" s="218"/>
      <c r="E236" s="218"/>
      <c r="F236" s="218"/>
      <c r="G236" s="218"/>
      <c r="H236" s="218"/>
      <c r="I236" s="218"/>
      <c r="J236" s="218"/>
      <c r="K236" s="218"/>
    </row>
    <row r="237" spans="1:11">
      <c r="A237" s="79" t="s">
        <v>1073</v>
      </c>
      <c r="B237" s="66" t="s">
        <v>352</v>
      </c>
      <c r="C237" s="177">
        <f>PI()*C190*C218*(C234+PI()*C196*0.5)</f>
        <v>310.91513276340265</v>
      </c>
      <c r="D237" s="177">
        <f t="shared" ref="D237:K237" si="124">PI()*D190*D218*(D234+PI()*D196*0.5)</f>
        <v>139.94069027911388</v>
      </c>
      <c r="E237" s="177">
        <f t="shared" si="124"/>
        <v>93.170074347505519</v>
      </c>
      <c r="F237" s="177">
        <f t="shared" si="124"/>
        <v>93.170074347505519</v>
      </c>
      <c r="G237" s="177">
        <f t="shared" si="124"/>
        <v>114.98478941125123</v>
      </c>
      <c r="H237" s="177">
        <f t="shared" si="124"/>
        <v>114.98478941125123</v>
      </c>
      <c r="I237" s="177">
        <f t="shared" si="124"/>
        <v>173.14742689139752</v>
      </c>
      <c r="J237" s="177">
        <f t="shared" si="124"/>
        <v>184.69058868415735</v>
      </c>
      <c r="K237" s="177">
        <f t="shared" si="124"/>
        <v>184.69058868415735</v>
      </c>
    </row>
    <row r="238" spans="1:11">
      <c r="A238" s="79" t="s">
        <v>1074</v>
      </c>
      <c r="B238" s="66" t="s">
        <v>352</v>
      </c>
      <c r="C238" s="177">
        <f>PI()*C190*C218*(C235+PI()*C196*0.5)</f>
        <v>584.66513276340277</v>
      </c>
      <c r="D238" s="177">
        <f t="shared" ref="D238:K238" si="125">PI()*D190*D218*(D235+PI()*D196*0.5)</f>
        <v>266.52269027911382</v>
      </c>
      <c r="E238" s="177">
        <f t="shared" si="125"/>
        <v>179.01807434750552</v>
      </c>
      <c r="F238" s="177">
        <f t="shared" si="125"/>
        <v>179.01807434750552</v>
      </c>
      <c r="G238" s="177">
        <f t="shared" si="125"/>
        <v>179.01807434750552</v>
      </c>
      <c r="H238" s="177">
        <f t="shared" si="125"/>
        <v>179.01807434750552</v>
      </c>
      <c r="I238" s="177">
        <f t="shared" si="125"/>
        <v>206.25907965804157</v>
      </c>
      <c r="J238" s="177">
        <f t="shared" si="125"/>
        <v>235.42728496857768</v>
      </c>
      <c r="K238" s="177">
        <f t="shared" si="125"/>
        <v>235.42728496857768</v>
      </c>
    </row>
    <row r="239" spans="1:11">
      <c r="A239" s="79"/>
      <c r="B239" s="66"/>
      <c r="C239" s="177"/>
      <c r="D239" s="177"/>
      <c r="E239" s="177"/>
      <c r="F239" s="177"/>
      <c r="G239" s="177"/>
      <c r="H239" s="177"/>
      <c r="I239" s="177"/>
      <c r="J239" s="177"/>
      <c r="K239" s="177"/>
    </row>
    <row r="240" spans="1:11">
      <c r="A240" s="83" t="s">
        <v>1066</v>
      </c>
      <c r="B240" s="66" t="s">
        <v>502</v>
      </c>
      <c r="C240" s="177">
        <f>(C237-MIN(C237:K237))*100/MIN(C237:K237)</f>
        <v>233.70707809435905</v>
      </c>
      <c r="D240" s="177">
        <f>(D237-MIN(C237:K237))*100/MIN(C237:K237)</f>
        <v>50.199182794642226</v>
      </c>
      <c r="E240" s="177">
        <f>(E237-MIN(C237:K237))*100/MIN(C237:K237)</f>
        <v>0</v>
      </c>
      <c r="F240" s="177">
        <f>(F237-MIN(C237:K237))*100/MIN(C237:K237)</f>
        <v>0</v>
      </c>
      <c r="G240" s="177">
        <f>(G237-MIN(C237:K237))*100/MIN(C237:K237)</f>
        <v>23.413864608909975</v>
      </c>
      <c r="H240" s="177">
        <f>(H237-MIN(C237:K237))*100/MIN(C237:K237)</f>
        <v>23.413864608909975</v>
      </c>
      <c r="I240" s="177">
        <f>(I237-MIN(C237:K237))*100/MIN(C237:K237)</f>
        <v>85.840172506026619</v>
      </c>
      <c r="J240" s="177">
        <f>(J237-MIN(C237:K237))*100/MIN(C237:K237)</f>
        <v>98.229517339761728</v>
      </c>
      <c r="K240" s="177">
        <f>(K237-MIN(C237:K237))*100/MIN(C237:K237)</f>
        <v>98.229517339761728</v>
      </c>
    </row>
    <row r="241" spans="1:11">
      <c r="A241" s="83" t="s">
        <v>1066</v>
      </c>
      <c r="B241" s="66" t="s">
        <v>502</v>
      </c>
      <c r="C241" s="177">
        <f>(C238-MIN(C238:K238))*100/MIN(C238:K238)</f>
        <v>226.59558812394837</v>
      </c>
      <c r="D241" s="177">
        <f>(D238-MIN(C238:K238))*100/MIN(C238:K238)</f>
        <v>48.880324654675078</v>
      </c>
      <c r="E241" s="177">
        <f>(E238-MIN(C238:K238))*100/MIN(C238:K238)</f>
        <v>0</v>
      </c>
      <c r="F241" s="177">
        <f>(F238-MIN(C238:K238))*100/MIN(C238:K238)</f>
        <v>0</v>
      </c>
      <c r="G241" s="177">
        <f>(G238-MIN(C238:K238))*100/MIN(C238:K238)</f>
        <v>0</v>
      </c>
      <c r="H241" s="177">
        <f>(H238-MIN(C238:K238))*100/MIN(C238:K238)</f>
        <v>0</v>
      </c>
      <c r="I241" s="177">
        <f>(I238-MIN(C238:K238))*100/MIN(C238:K238)</f>
        <v>15.216902209358189</v>
      </c>
      <c r="J241" s="177">
        <f>(J238-MIN(C238:K238))*100/MIN(C238:K238)</f>
        <v>31.510343760916552</v>
      </c>
      <c r="K241" s="177">
        <f>(K238-MIN(C238:K238))*100/MIN(C238:K238)</f>
        <v>31.510343760916552</v>
      </c>
    </row>
    <row r="242" spans="1:11">
      <c r="A242" s="83"/>
      <c r="B242" s="66"/>
      <c r="C242" s="218"/>
      <c r="D242" s="218"/>
      <c r="E242" s="218"/>
      <c r="F242" s="218"/>
      <c r="G242" s="218"/>
      <c r="H242" s="218"/>
      <c r="I242" s="218"/>
      <c r="J242" s="218"/>
      <c r="K242" s="218"/>
    </row>
    <row r="243" spans="1:11" ht="30">
      <c r="A243" s="238" t="s">
        <v>1077</v>
      </c>
      <c r="B243" s="66" t="s">
        <v>132</v>
      </c>
      <c r="C243" s="9">
        <f t="shared" ref="C243:K243" si="126">ВыбГор_QFH*0.6*1000/C237</f>
        <v>11.578722360675492</v>
      </c>
      <c r="D243" s="9">
        <f t="shared" si="126"/>
        <v>25.725183953428726</v>
      </c>
      <c r="E243" s="9">
        <f t="shared" si="126"/>
        <v>38.639016070468379</v>
      </c>
      <c r="F243" s="9">
        <f t="shared" si="126"/>
        <v>38.639016070468379</v>
      </c>
      <c r="G243" s="9">
        <f t="shared" si="126"/>
        <v>31.308488874335762</v>
      </c>
      <c r="H243" s="9">
        <f t="shared" si="126"/>
        <v>31.308488874335762</v>
      </c>
      <c r="I243" s="9">
        <f t="shared" si="126"/>
        <v>20.791530458364889</v>
      </c>
      <c r="J243" s="9">
        <f t="shared" si="126"/>
        <v>19.492059804717083</v>
      </c>
      <c r="K243" s="9">
        <f t="shared" si="126"/>
        <v>19.492059804717083</v>
      </c>
    </row>
    <row r="244" spans="1:11" ht="30">
      <c r="A244" s="238" t="s">
        <v>1078</v>
      </c>
      <c r="B244" s="66" t="s">
        <v>132</v>
      </c>
      <c r="C244" s="9">
        <f t="shared" ref="C244:K244" si="127">ВыбГор_QFH*0.6*1000/C238</f>
        <v>6.1573707721969058</v>
      </c>
      <c r="D244" s="9">
        <f t="shared" si="127"/>
        <v>13.507292742054823</v>
      </c>
      <c r="E244" s="9">
        <f t="shared" si="127"/>
        <v>20.109701286428585</v>
      </c>
      <c r="F244" s="9">
        <f t="shared" si="127"/>
        <v>20.109701286428585</v>
      </c>
      <c r="G244" s="9">
        <f t="shared" si="127"/>
        <v>20.109701286428585</v>
      </c>
      <c r="H244" s="9">
        <f t="shared" si="127"/>
        <v>20.109701286428585</v>
      </c>
      <c r="I244" s="9">
        <f t="shared" si="127"/>
        <v>17.453777094169457</v>
      </c>
      <c r="J244" s="9">
        <f t="shared" si="127"/>
        <v>15.291345692919531</v>
      </c>
      <c r="K244" s="9">
        <f t="shared" si="127"/>
        <v>15.291345692919531</v>
      </c>
    </row>
    <row r="245" spans="1:11">
      <c r="A245" s="238"/>
      <c r="B245" s="66"/>
    </row>
    <row r="246" spans="1:11">
      <c r="A246" s="83"/>
      <c r="B246" s="66"/>
      <c r="C246" s="218"/>
      <c r="D246" s="218"/>
      <c r="E246" s="218"/>
      <c r="F246" s="218"/>
      <c r="G246" s="218"/>
      <c r="H246" s="218"/>
      <c r="I246" s="218"/>
      <c r="J246" s="218"/>
      <c r="K246" s="218"/>
    </row>
    <row r="247" spans="1:11">
      <c r="A247" s="233" t="s">
        <v>1062</v>
      </c>
      <c r="B247" s="235" t="s">
        <v>152</v>
      </c>
      <c r="C247" s="237">
        <v>8.7850000000000001</v>
      </c>
      <c r="D247" s="237">
        <v>6</v>
      </c>
      <c r="E247" s="237">
        <v>6.8</v>
      </c>
      <c r="F247" s="237">
        <v>6.35</v>
      </c>
      <c r="G247" s="237">
        <v>6.5</v>
      </c>
      <c r="H247" s="237">
        <v>6.5</v>
      </c>
      <c r="I247" s="237">
        <v>6.5</v>
      </c>
      <c r="J247" s="237">
        <v>6.5</v>
      </c>
      <c r="K247" s="237">
        <v>6.5</v>
      </c>
    </row>
    <row r="248" spans="1:11">
      <c r="A248" s="83"/>
      <c r="B248" s="66"/>
      <c r="C248" s="218"/>
      <c r="D248" s="218"/>
      <c r="E248" s="218"/>
      <c r="F248" s="218"/>
      <c r="G248" s="218"/>
      <c r="H248" s="218"/>
      <c r="I248" s="218"/>
      <c r="J248" s="218"/>
      <c r="K248" s="218"/>
    </row>
    <row r="249" spans="1:11">
      <c r="A249" s="83" t="s">
        <v>1063</v>
      </c>
      <c r="B249" s="66"/>
      <c r="C249" s="218">
        <f t="shared" ref="C249:K249" si="128">C247/C220</f>
        <v>1.3799445730893165</v>
      </c>
      <c r="D249" s="218">
        <f t="shared" si="128"/>
        <v>1.3859967589366731</v>
      </c>
      <c r="E249" s="218">
        <f t="shared" si="128"/>
        <v>1.907395539679517</v>
      </c>
      <c r="F249" s="218">
        <f t="shared" si="128"/>
        <v>1.7811708348477842</v>
      </c>
      <c r="G249" s="218">
        <f t="shared" si="128"/>
        <v>1.8232457364583619</v>
      </c>
      <c r="H249" s="218">
        <f t="shared" si="128"/>
        <v>1.8232457364583619</v>
      </c>
      <c r="I249" s="218">
        <f t="shared" si="128"/>
        <v>1.7016960206944713</v>
      </c>
      <c r="J249" s="218">
        <f t="shared" si="128"/>
        <v>1.595340019401067</v>
      </c>
      <c r="K249" s="218">
        <f t="shared" si="128"/>
        <v>1.595340019401067</v>
      </c>
    </row>
    <row r="250" spans="1:11">
      <c r="A250" s="83"/>
      <c r="B250" s="66"/>
      <c r="C250" s="218"/>
      <c r="D250" s="218"/>
      <c r="E250" s="218"/>
      <c r="F250" s="218"/>
      <c r="G250" s="218"/>
      <c r="H250" s="218"/>
      <c r="I250" s="218"/>
      <c r="J250" s="218"/>
      <c r="K250" s="218"/>
    </row>
    <row r="251" spans="1:11" ht="30">
      <c r="A251" s="79" t="s">
        <v>1064</v>
      </c>
      <c r="B251" s="66" t="s">
        <v>152</v>
      </c>
      <c r="C251" s="210">
        <f t="shared" ref="C251:K251" si="129">C247-C196-C190*0.5-C191-C193</f>
        <v>7.6454999999999993</v>
      </c>
      <c r="D251" s="210">
        <f t="shared" si="129"/>
        <v>4.8605</v>
      </c>
      <c r="E251" s="210">
        <f t="shared" si="129"/>
        <v>5.6604999999999999</v>
      </c>
      <c r="F251" s="210">
        <f t="shared" si="129"/>
        <v>5.2104999999999997</v>
      </c>
      <c r="G251" s="210">
        <f t="shared" si="129"/>
        <v>5.3605</v>
      </c>
      <c r="H251" s="210">
        <f t="shared" si="129"/>
        <v>5.3605</v>
      </c>
      <c r="I251" s="210">
        <f t="shared" si="129"/>
        <v>5.3605</v>
      </c>
      <c r="J251" s="210">
        <f t="shared" si="129"/>
        <v>5.3605</v>
      </c>
      <c r="K251" s="210">
        <f t="shared" si="129"/>
        <v>5.3605</v>
      </c>
    </row>
    <row r="252" spans="1:11">
      <c r="A252" s="83"/>
      <c r="B252" s="66"/>
      <c r="C252" s="218"/>
      <c r="D252" s="218"/>
      <c r="E252" s="218"/>
      <c r="F252" s="218"/>
      <c r="G252" s="218"/>
      <c r="H252" s="218"/>
      <c r="I252" s="218"/>
      <c r="J252" s="218"/>
      <c r="K252" s="218"/>
    </row>
    <row r="253" spans="1:11">
      <c r="A253" s="83" t="s">
        <v>1065</v>
      </c>
      <c r="B253" s="66" t="s">
        <v>352</v>
      </c>
      <c r="C253" s="177">
        <f t="shared" ref="C253:K253" si="130">PI()*C190*C218*(C251+PI()*C196*0.5)</f>
        <v>284.62299426996299</v>
      </c>
      <c r="D253" s="177">
        <f t="shared" si="130"/>
        <v>128.39608367089144</v>
      </c>
      <c r="E253" s="177">
        <f t="shared" si="130"/>
        <v>121.14934817983126</v>
      </c>
      <c r="F253" s="177">
        <f t="shared" si="130"/>
        <v>112.4804374115156</v>
      </c>
      <c r="G253" s="177">
        <f t="shared" si="130"/>
        <v>115.37007433428748</v>
      </c>
      <c r="H253" s="177">
        <f t="shared" si="130"/>
        <v>115.37007433428748</v>
      </c>
      <c r="I253" s="177">
        <f t="shared" si="130"/>
        <v>123.61079392959374</v>
      </c>
      <c r="J253" s="177">
        <f t="shared" si="130"/>
        <v>131.85151352489999</v>
      </c>
      <c r="K253" s="177">
        <f t="shared" si="130"/>
        <v>131.85151352489999</v>
      </c>
    </row>
    <row r="254" spans="1:11">
      <c r="A254" s="83"/>
      <c r="B254" s="66"/>
      <c r="C254" s="218"/>
      <c r="D254" s="218"/>
      <c r="E254" s="218"/>
      <c r="F254" s="218"/>
      <c r="G254" s="218"/>
      <c r="H254" s="218"/>
      <c r="I254" s="218"/>
      <c r="J254" s="218"/>
      <c r="K254" s="218"/>
    </row>
    <row r="255" spans="1:11">
      <c r="A255" s="83" t="s">
        <v>1066</v>
      </c>
      <c r="B255" s="66" t="s">
        <v>502</v>
      </c>
      <c r="C255" s="177">
        <f>(C253-MIN(C253:K253))*100/MIN(C253:K253)</f>
        <v>153.04221855810783</v>
      </c>
      <c r="D255" s="177">
        <f>(D253-MIN(C253:K253))*100/MIN(C253:K253)</f>
        <v>14.149701606464793</v>
      </c>
      <c r="E255" s="177">
        <f>(E253-MIN(C253:K253))*100/MIN(C253:K253)</f>
        <v>7.7070386351717355</v>
      </c>
      <c r="F255" s="177">
        <f>(F253-MIN(C253:K253))*100/MIN(C253:K253)</f>
        <v>0</v>
      </c>
      <c r="G255" s="177">
        <f>(G253-MIN(C253:K253))*100/MIN(C253:K253)</f>
        <v>2.5690128783905744</v>
      </c>
      <c r="H255" s="177">
        <f>(H253-MIN(C253:K253))*100/MIN(C253:K253)</f>
        <v>2.5690128783905744</v>
      </c>
      <c r="I255" s="177">
        <f>(I253-MIN(C253:K253))*100/MIN(C253:K253)</f>
        <v>9.8953709411327679</v>
      </c>
      <c r="J255" s="177">
        <f>(J253-MIN(C253:K253))*100/MIN(C253:K253)</f>
        <v>17.221729003874948</v>
      </c>
      <c r="K255" s="177">
        <f>(K253-MIN(C253:K253))*100/MIN(C253:K253)</f>
        <v>17.221729003874948</v>
      </c>
    </row>
    <row r="256" spans="1:11">
      <c r="A256" s="83"/>
      <c r="B256" s="66"/>
      <c r="C256" s="177"/>
      <c r="D256" s="177"/>
      <c r="E256" s="177"/>
      <c r="F256" s="177"/>
      <c r="G256" s="177"/>
      <c r="H256" s="177"/>
      <c r="I256" s="177"/>
      <c r="J256" s="177"/>
      <c r="K256" s="177"/>
    </row>
    <row r="257" spans="1:11" ht="30">
      <c r="A257" s="238" t="s">
        <v>1075</v>
      </c>
      <c r="B257" s="66" t="s">
        <v>132</v>
      </c>
      <c r="C257" s="9">
        <f t="shared" ref="C257:K257" si="131">ВыбГор_QFH*0.6*1000/C253</f>
        <v>12.64831047552477</v>
      </c>
      <c r="D257" s="9">
        <f t="shared" si="131"/>
        <v>28.038238372033401</v>
      </c>
      <c r="E257" s="9">
        <f t="shared" si="131"/>
        <v>29.71538893181863</v>
      </c>
      <c r="F257" s="9">
        <f t="shared" si="131"/>
        <v>32.005565437385435</v>
      </c>
      <c r="G257" s="9">
        <f t="shared" si="131"/>
        <v>31.203932395578732</v>
      </c>
      <c r="H257" s="9">
        <f t="shared" si="131"/>
        <v>31.203932395578732</v>
      </c>
      <c r="I257" s="9">
        <f t="shared" si="131"/>
        <v>29.12367023587348</v>
      </c>
      <c r="J257" s="9">
        <f t="shared" si="131"/>
        <v>27.303440846131387</v>
      </c>
      <c r="K257" s="9">
        <f t="shared" si="131"/>
        <v>27.303440846131387</v>
      </c>
    </row>
    <row r="258" spans="1:11">
      <c r="A258" s="215"/>
      <c r="B258" s="66"/>
    </row>
    <row r="259" spans="1:11">
      <c r="A259" s="215"/>
      <c r="B259" s="66"/>
    </row>
    <row r="261" spans="1:11">
      <c r="A261" s="62" t="s">
        <v>1035</v>
      </c>
    </row>
    <row r="271" spans="1:11" ht="30">
      <c r="A271" s="43" t="s">
        <v>1031</v>
      </c>
    </row>
    <row r="273" spans="1:11" ht="30">
      <c r="A273" s="7" t="s">
        <v>990</v>
      </c>
      <c r="B273" t="s">
        <v>152</v>
      </c>
      <c r="C273" s="67">
        <f>IF(C29&gt;1,(C14+C15)*(C29-1),0)</f>
        <v>9.1</v>
      </c>
      <c r="D273" s="67">
        <f t="shared" ref="D273:K273" si="132">IF(D29&gt;1,(D14+D15)*(D29-1),0)</f>
        <v>4.1999999999999993</v>
      </c>
      <c r="E273" s="67">
        <f t="shared" si="132"/>
        <v>2.8</v>
      </c>
      <c r="F273" s="67">
        <f t="shared" si="132"/>
        <v>2.5500000000000003</v>
      </c>
      <c r="G273" s="67">
        <f t="shared" si="132"/>
        <v>2</v>
      </c>
      <c r="H273" s="67">
        <f t="shared" si="132"/>
        <v>2</v>
      </c>
      <c r="I273" s="67">
        <f t="shared" si="132"/>
        <v>1</v>
      </c>
      <c r="J273" s="67">
        <f t="shared" si="132"/>
        <v>1.1000000000000001</v>
      </c>
      <c r="K273" s="67">
        <f t="shared" si="132"/>
        <v>1.1000000000000001</v>
      </c>
    </row>
    <row r="274" spans="1:11" ht="30">
      <c r="A274" s="7" t="s">
        <v>991</v>
      </c>
      <c r="B274" t="s">
        <v>152</v>
      </c>
      <c r="C274" s="67">
        <f>IF(C29&gt;1,(C14+C16)*(C29-1),0)</f>
        <v>13</v>
      </c>
      <c r="D274" s="67">
        <f t="shared" ref="D274:K274" si="133">IF(D29&gt;1,(D14+D16)*(D29-1),0)</f>
        <v>6</v>
      </c>
      <c r="E274" s="67">
        <f t="shared" si="133"/>
        <v>4</v>
      </c>
      <c r="F274" s="67">
        <f t="shared" si="133"/>
        <v>3.4499999999999997</v>
      </c>
      <c r="G274" s="67">
        <f t="shared" si="133"/>
        <v>2.6</v>
      </c>
      <c r="H274" s="67">
        <f t="shared" si="133"/>
        <v>2.6</v>
      </c>
      <c r="I274" s="67">
        <f t="shared" si="133"/>
        <v>1.3</v>
      </c>
      <c r="J274" s="67">
        <f t="shared" si="133"/>
        <v>1.4</v>
      </c>
      <c r="K274" s="67">
        <f t="shared" si="133"/>
        <v>1.4</v>
      </c>
    </row>
    <row r="275" spans="1:11">
      <c r="A275" s="7"/>
    </row>
    <row r="276" spans="1:11">
      <c r="A276" s="7"/>
    </row>
    <row r="277" spans="1:11">
      <c r="A277" s="7"/>
    </row>
    <row r="278" spans="1:11">
      <c r="A278" s="7"/>
    </row>
    <row r="279" spans="1:11" ht="30">
      <c r="A279" s="43" t="s">
        <v>1033</v>
      </c>
    </row>
    <row r="280" spans="1:11">
      <c r="A280" s="7"/>
    </row>
    <row r="281" spans="1:11">
      <c r="A281" s="7"/>
    </row>
    <row r="282" spans="1:11">
      <c r="A282" s="7"/>
    </row>
    <row r="283" spans="1:11">
      <c r="A283" s="7"/>
    </row>
    <row r="284" spans="1:11" ht="30">
      <c r="A284" s="43" t="s">
        <v>1032</v>
      </c>
    </row>
    <row r="285" spans="1:11">
      <c r="A285" s="7"/>
    </row>
    <row r="286" spans="1:11">
      <c r="A286" s="7"/>
    </row>
    <row r="287" spans="1:11">
      <c r="A287" s="7"/>
    </row>
    <row r="288" spans="1:11" ht="30">
      <c r="A288" s="43" t="s">
        <v>1034</v>
      </c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</sheetData>
  <mergeCells count="1">
    <mergeCell ref="C11:K11"/>
  </mergeCells>
  <conditionalFormatting sqref="C71:C72 C82 C84 C74:C75 C141:C142 C152 C154 C144:C145 C211:C212 C222 C224 C214:C215">
    <cfRule type="cellIs" dxfId="40" priority="174" operator="greaterThanOrEqual">
      <formula>$C$34</formula>
    </cfRule>
    <cfRule type="cellIs" dxfId="39" priority="175" operator="lessThan">
      <formula>$C$34</formula>
    </cfRule>
  </conditionalFormatting>
  <conditionalFormatting sqref="D71:D72 D74:D75 D82 D84 D141:D142 D144:D145 D152 D154 D211:D212 D214:D215 D222 D224">
    <cfRule type="cellIs" dxfId="38" priority="172" operator="greaterThanOrEqual">
      <formula>$D$34</formula>
    </cfRule>
    <cfRule type="cellIs" dxfId="37" priority="173" operator="lessThan">
      <formula>$D$34</formula>
    </cfRule>
  </conditionalFormatting>
  <conditionalFormatting sqref="E71:E72 E74:E75 E82 E84 E141:E142 E144:E145 E152 E154 E211:E212 E214:E215 E222 E224">
    <cfRule type="cellIs" dxfId="36" priority="170" operator="greaterThanOrEqual">
      <formula>$E$34</formula>
    </cfRule>
    <cfRule type="cellIs" dxfId="35" priority="171" operator="lessThan">
      <formula>$E$34</formula>
    </cfRule>
  </conditionalFormatting>
  <conditionalFormatting sqref="F71:F72 F74:F75 F82 F84 F141:F142 F144:F145 F152 F154 F211:F212 F214:F215 F222 F224">
    <cfRule type="cellIs" dxfId="34" priority="168" operator="greaterThanOrEqual">
      <formula>$F$34</formula>
    </cfRule>
    <cfRule type="cellIs" dxfId="33" priority="169" operator="lessThan">
      <formula>$F$34</formula>
    </cfRule>
  </conditionalFormatting>
  <conditionalFormatting sqref="G71:G72 G74:G75 G82 G84 G141:G142 G144:G145 G152 G154 G211:G212 G214:G215 G222 G224">
    <cfRule type="cellIs" dxfId="32" priority="156" operator="greaterThanOrEqual">
      <formula>$G$34</formula>
    </cfRule>
    <cfRule type="cellIs" dxfId="31" priority="157" operator="lessThan">
      <formula>$G$34</formula>
    </cfRule>
  </conditionalFormatting>
  <conditionalFormatting sqref="H71:H72 H74:H75 H82 H84 H141:H142 H144:H145 H152 H154 H211:H212 H214:H215 H222 H224">
    <cfRule type="cellIs" dxfId="30" priority="154" operator="greaterThanOrEqual">
      <formula>$H$34</formula>
    </cfRule>
    <cfRule type="cellIs" dxfId="29" priority="155" operator="lessThan">
      <formula>$H$34</formula>
    </cfRule>
  </conditionalFormatting>
  <conditionalFormatting sqref="I71:I72 I74:I75 I82 I84 I141:I142 I144:I145 I152 I154 I211:I212 I214:I215 I222 I224">
    <cfRule type="cellIs" dxfId="28" priority="152" operator="greaterThanOrEqual">
      <formula>$I$34</formula>
    </cfRule>
    <cfRule type="cellIs" dxfId="27" priority="153" operator="lessThan">
      <formula>$I$34</formula>
    </cfRule>
  </conditionalFormatting>
  <conditionalFormatting sqref="J71:J72 J74:J75 J82 J84 J141:J142 J144:J145 J152 J154 J211:J212 J214:J215 J222 J224">
    <cfRule type="cellIs" dxfId="26" priority="150" operator="greaterThanOrEqual">
      <formula>$J$34</formula>
    </cfRule>
    <cfRule type="cellIs" dxfId="25" priority="151" operator="lessThan">
      <formula>$J$34</formula>
    </cfRule>
  </conditionalFormatting>
  <conditionalFormatting sqref="K71:K72 K74:K75 K82 K84 K141:K142 K144:K145 K152 K154 K211:K212 K214:K215 K222 K224">
    <cfRule type="cellIs" dxfId="24" priority="148" operator="greaterThanOrEqual">
      <formula>$K$34</formula>
    </cfRule>
    <cfRule type="cellIs" dxfId="23" priority="149" operator="lessThan">
      <formula>$K$34</formula>
    </cfRule>
  </conditionalFormatting>
  <conditionalFormatting sqref="C85:K85 C155:K155 C225:K225">
    <cfRule type="cellIs" dxfId="22" priority="69" operator="lessThan">
      <formula>2/3*$C$21</formula>
    </cfRule>
  </conditionalFormatting>
  <conditionalFormatting sqref="C113:K113">
    <cfRule type="colorScale" priority="68">
      <colorScale>
        <cfvo type="min" val="0"/>
        <cfvo type="max" val="0"/>
        <color theme="2"/>
        <color rgb="FFFF0000"/>
      </colorScale>
    </cfRule>
  </conditionalFormatting>
  <conditionalFormatting sqref="C97:K99">
    <cfRule type="colorScale" priority="65">
      <colorScale>
        <cfvo type="min" val="0"/>
        <cfvo type="max" val="0"/>
        <color theme="0"/>
        <color rgb="FFFF0000"/>
      </colorScale>
    </cfRule>
  </conditionalFormatting>
  <conditionalFormatting sqref="C80:K80">
    <cfRule type="colorScale" priority="64">
      <colorScale>
        <cfvo type="min" val="0"/>
        <cfvo type="max" val="0"/>
        <color theme="0"/>
        <color rgb="FFFF0000"/>
      </colorScale>
    </cfRule>
  </conditionalFormatting>
  <conditionalFormatting sqref="C167:K169">
    <cfRule type="colorScale" priority="43">
      <colorScale>
        <cfvo type="min" val="0"/>
        <cfvo type="max" val="0"/>
        <color theme="0"/>
        <color rgb="FFFF0000"/>
      </colorScale>
    </cfRule>
  </conditionalFormatting>
  <conditionalFormatting sqref="C150:K150">
    <cfRule type="colorScale" priority="42">
      <colorScale>
        <cfvo type="min" val="0"/>
        <cfvo type="max" val="0"/>
        <color theme="0"/>
        <color rgb="FFFF0000"/>
      </colorScale>
    </cfRule>
  </conditionalFormatting>
  <conditionalFormatting sqref="C103:K104 C183:K183 C117:K117 C173:K174 C187:K187 C253:K253 C243:K244 C257:K257">
    <cfRule type="cellIs" dxfId="21" priority="40" operator="greaterThan">
      <formula>$C$6</formula>
    </cfRule>
    <cfRule type="cellIs" dxfId="20" priority="41" operator="lessThanOrEqual">
      <formula>$C$6</formula>
    </cfRule>
  </conditionalFormatting>
  <conditionalFormatting sqref="C183:K183">
    <cfRule type="colorScale" priority="33">
      <colorScale>
        <cfvo type="min" val="0"/>
        <cfvo type="max" val="0"/>
        <color theme="2"/>
        <color rgb="FFFF0000"/>
      </colorScale>
    </cfRule>
  </conditionalFormatting>
  <conditionalFormatting sqref="C237:K239">
    <cfRule type="colorScale" priority="9">
      <colorScale>
        <cfvo type="min" val="0"/>
        <cfvo type="max" val="0"/>
        <color theme="0"/>
        <color rgb="FFFF0000"/>
      </colorScale>
    </cfRule>
  </conditionalFormatting>
  <conditionalFormatting sqref="C220:K220">
    <cfRule type="colorScale" priority="8">
      <colorScale>
        <cfvo type="min" val="0"/>
        <cfvo type="max" val="0"/>
        <color theme="0"/>
        <color rgb="FFFF0000"/>
      </colorScale>
    </cfRule>
  </conditionalFormatting>
  <conditionalFormatting sqref="C253:K253">
    <cfRule type="colorScale" priority="5">
      <colorScale>
        <cfvo type="min" val="0"/>
        <cfvo type="max" val="0"/>
        <color theme="2"/>
        <color rgb="FFFF0000"/>
      </colorScale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B1:F28"/>
  <sheetViews>
    <sheetView workbookViewId="0">
      <selection activeCell="J30" sqref="J30"/>
    </sheetView>
  </sheetViews>
  <sheetFormatPr defaultRowHeight="15"/>
  <sheetData>
    <row r="1" spans="2:6">
      <c r="B1" s="21"/>
    </row>
    <row r="2" spans="2:6">
      <c r="B2" s="21" t="s">
        <v>151</v>
      </c>
      <c r="C2">
        <v>0.108</v>
      </c>
      <c r="D2">
        <v>8.8999999999999996E-2</v>
      </c>
      <c r="E2">
        <v>7.5999999999999998E-2</v>
      </c>
      <c r="F2" t="s">
        <v>152</v>
      </c>
    </row>
    <row r="3" spans="2:6">
      <c r="B3" s="21" t="s">
        <v>153</v>
      </c>
      <c r="C3">
        <v>0.3</v>
      </c>
      <c r="D3">
        <v>0.3</v>
      </c>
      <c r="E3">
        <v>0.3</v>
      </c>
      <c r="F3" t="s">
        <v>152</v>
      </c>
    </row>
    <row r="4" spans="2:6">
      <c r="B4" s="21" t="s">
        <v>154</v>
      </c>
      <c r="C4" s="22">
        <f>MAX(0.1,1.5*C2)</f>
        <v>0.16200000000000001</v>
      </c>
      <c r="D4" s="22">
        <f>MAX(0.1,1.5*D2)</f>
        <v>0.13350000000000001</v>
      </c>
      <c r="E4" s="22">
        <f>MAX(0.1,1.5*E2)</f>
        <v>0.11399999999999999</v>
      </c>
    </row>
    <row r="5" spans="2:6">
      <c r="B5" s="21" t="s">
        <v>154</v>
      </c>
      <c r="C5">
        <v>0.16500000000000001</v>
      </c>
      <c r="D5">
        <v>0.13500000000000001</v>
      </c>
      <c r="E5">
        <v>0.12</v>
      </c>
      <c r="F5" t="s">
        <v>152</v>
      </c>
    </row>
    <row r="6" spans="2:6">
      <c r="B6" s="21" t="s">
        <v>155</v>
      </c>
      <c r="C6" s="23">
        <f>MAX(0.1,1.5*C2)</f>
        <v>0.16200000000000001</v>
      </c>
      <c r="D6" s="23">
        <f>MAX(0.1,1.5*D2)</f>
        <v>0.13350000000000001</v>
      </c>
      <c r="E6" s="23">
        <f>MAX(0.1,1.5*E2)</f>
        <v>0.11399999999999999</v>
      </c>
      <c r="F6" t="s">
        <v>152</v>
      </c>
    </row>
    <row r="7" spans="2:6">
      <c r="B7" s="21" t="s">
        <v>155</v>
      </c>
      <c r="C7">
        <v>0.16500000000000001</v>
      </c>
      <c r="D7">
        <v>0.13500000000000001</v>
      </c>
      <c r="E7">
        <v>0.12</v>
      </c>
      <c r="F7" t="s">
        <v>152</v>
      </c>
    </row>
    <row r="8" spans="2:6">
      <c r="B8" s="21" t="s">
        <v>156</v>
      </c>
      <c r="C8">
        <v>0.2</v>
      </c>
      <c r="D8">
        <v>0.16</v>
      </c>
      <c r="E8">
        <v>0.16</v>
      </c>
      <c r="F8" t="s">
        <v>152</v>
      </c>
    </row>
    <row r="9" spans="2:6">
      <c r="B9" s="21"/>
    </row>
    <row r="10" spans="2:6">
      <c r="B10" s="21" t="s">
        <v>157</v>
      </c>
      <c r="C10">
        <v>3.8</v>
      </c>
      <c r="D10">
        <v>3.75</v>
      </c>
      <c r="E10">
        <v>3.78</v>
      </c>
      <c r="F10" t="s">
        <v>152</v>
      </c>
    </row>
    <row r="11" spans="2:6">
      <c r="B11" s="21" t="s">
        <v>158</v>
      </c>
      <c r="C11" s="22">
        <f>C10+C3+C5+C8+C2</f>
        <v>4.5729999999999995</v>
      </c>
      <c r="D11" s="22">
        <f>D10+D3+D5+D8+D2</f>
        <v>4.4340000000000002</v>
      </c>
      <c r="E11" s="22">
        <f>E10+E3+E5+E8+E2</f>
        <v>4.4359999999999999</v>
      </c>
      <c r="F11" t="s">
        <v>152</v>
      </c>
    </row>
    <row r="12" spans="2:6">
      <c r="B12" s="21" t="s">
        <v>159</v>
      </c>
      <c r="C12">
        <v>2.75</v>
      </c>
      <c r="D12">
        <v>2.75</v>
      </c>
      <c r="E12">
        <v>2.75</v>
      </c>
    </row>
    <row r="13" spans="2:6">
      <c r="B13" s="21"/>
    </row>
    <row r="14" spans="2:6">
      <c r="B14" s="21" t="s">
        <v>160</v>
      </c>
      <c r="C14" s="22">
        <f>C11/C12</f>
        <v>1.6629090909090907</v>
      </c>
      <c r="D14" s="22">
        <f>D11/D12</f>
        <v>1.6123636363636364</v>
      </c>
      <c r="E14" s="22">
        <f>E11/E12</f>
        <v>1.6130909090909091</v>
      </c>
      <c r="F14" t="s">
        <v>152</v>
      </c>
    </row>
    <row r="15" spans="2:6">
      <c r="B15" s="21" t="s">
        <v>161</v>
      </c>
      <c r="C15" s="22">
        <f>C14+2*C7</f>
        <v>1.9929090909090907</v>
      </c>
      <c r="D15" s="22">
        <f>D14+2*D7</f>
        <v>1.8823636363636365</v>
      </c>
      <c r="E15" s="22">
        <f>E14+2*E7</f>
        <v>1.8530909090909091</v>
      </c>
      <c r="F15" t="s">
        <v>152</v>
      </c>
    </row>
    <row r="16" spans="2:6">
      <c r="B16" s="21"/>
    </row>
    <row r="17" spans="2:6">
      <c r="B17" s="21" t="s">
        <v>162</v>
      </c>
      <c r="C17">
        <v>1</v>
      </c>
      <c r="D17">
        <v>1</v>
      </c>
      <c r="E17">
        <v>1</v>
      </c>
    </row>
    <row r="18" spans="2:6">
      <c r="B18" s="21" t="s">
        <v>163</v>
      </c>
      <c r="C18" s="22">
        <f>ROUND(PI()*C14/C8,0)</f>
        <v>26</v>
      </c>
      <c r="D18" s="22">
        <f>ROUND(PI()*D14/D8,0)</f>
        <v>32</v>
      </c>
      <c r="E18" s="22">
        <f>ROUND(PI()*E14/E8,0)</f>
        <v>32</v>
      </c>
    </row>
    <row r="19" spans="2:6">
      <c r="B19" s="21" t="s">
        <v>164</v>
      </c>
      <c r="C19" s="22">
        <f>EVEN(ROUND(C18/C17,0))</f>
        <v>26</v>
      </c>
      <c r="D19" s="22">
        <f>EVEN(ROUND(D18/D17,0))</f>
        <v>32</v>
      </c>
      <c r="E19" s="22">
        <f>EVEN(ROUND(E18/E17,0))</f>
        <v>32</v>
      </c>
    </row>
    <row r="20" spans="2:6">
      <c r="B20" s="21"/>
    </row>
    <row r="21" spans="2:6">
      <c r="B21" s="21" t="s">
        <v>165</v>
      </c>
      <c r="C21" s="210">
        <f>ROUND(C19*C17*C8/PI(),3)</f>
        <v>1.655</v>
      </c>
      <c r="D21" s="210">
        <f t="shared" ref="D21:E21" si="0">ROUND(D19*D17*D8/PI(),3)</f>
        <v>1.63</v>
      </c>
      <c r="E21" s="210">
        <f t="shared" si="0"/>
        <v>1.63</v>
      </c>
      <c r="F21" t="s">
        <v>152</v>
      </c>
    </row>
    <row r="22" spans="2:6">
      <c r="B22" s="21" t="s">
        <v>161</v>
      </c>
      <c r="C22" s="22">
        <f>C21+2*C7</f>
        <v>1.9850000000000001</v>
      </c>
      <c r="D22" s="22">
        <f>D21+2*D7</f>
        <v>1.9</v>
      </c>
      <c r="E22" s="22">
        <f>E21+2*E7</f>
        <v>1.8699999999999999</v>
      </c>
      <c r="F22" t="s">
        <v>152</v>
      </c>
    </row>
    <row r="23" spans="2:6">
      <c r="B23" s="21"/>
    </row>
    <row r="24" spans="2:6">
      <c r="B24" s="21" t="s">
        <v>158</v>
      </c>
      <c r="C24" s="22">
        <f>C21*C12</f>
        <v>4.5512500000000005</v>
      </c>
      <c r="D24" s="22">
        <f>D21*D12</f>
        <v>4.4824999999999999</v>
      </c>
      <c r="E24" s="22">
        <f>E21*E12</f>
        <v>4.4824999999999999</v>
      </c>
    </row>
    <row r="26" spans="2:6">
      <c r="B26" s="21" t="s">
        <v>157</v>
      </c>
      <c r="C26" s="22">
        <f>C24-C8-C2*0.5-C3-C5</f>
        <v>3.8322500000000002</v>
      </c>
      <c r="D26" s="22">
        <f t="shared" ref="D26:E26" si="1">D24-D8-D2*0.5-D3-D5</f>
        <v>3.843</v>
      </c>
      <c r="E26" s="22">
        <f t="shared" si="1"/>
        <v>3.8644999999999996</v>
      </c>
    </row>
    <row r="28" spans="2:6">
      <c r="B28" s="40" t="s">
        <v>204</v>
      </c>
      <c r="C28" s="22">
        <f>PI()*C2*C17*C19*(C10+PI()*C8*0.5)</f>
        <v>36.293435166690422</v>
      </c>
      <c r="D28" s="22">
        <f>PI()*D2*D17*D19*(D10+PI()*D8*0.5)</f>
        <v>35.800900207083188</v>
      </c>
      <c r="E28" s="22">
        <f>PI()*E2*E17*E19*(E10+PI()*E8*0.5)</f>
        <v>30.800765833020769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7"/>
  <dimension ref="A1:C10"/>
  <sheetViews>
    <sheetView workbookViewId="0">
      <selection activeCell="C29" sqref="C29"/>
    </sheetView>
  </sheetViews>
  <sheetFormatPr defaultRowHeight="15"/>
  <cols>
    <col min="1" max="1" width="21.5703125" bestFit="1" customWidth="1"/>
    <col min="2" max="2" width="17.7109375" bestFit="1" customWidth="1"/>
    <col min="3" max="3" width="19.28515625" bestFit="1" customWidth="1"/>
    <col min="4" max="4" width="14.85546875" bestFit="1" customWidth="1"/>
  </cols>
  <sheetData>
    <row r="1" spans="1:3">
      <c r="A1" t="s">
        <v>754</v>
      </c>
    </row>
    <row r="2" spans="1:3">
      <c r="B2" t="s">
        <v>751</v>
      </c>
      <c r="C2" t="s">
        <v>667</v>
      </c>
    </row>
    <row r="3" spans="1:3">
      <c r="A3" s="6">
        <v>1</v>
      </c>
      <c r="B3" t="s">
        <v>752</v>
      </c>
      <c r="C3" t="s">
        <v>668</v>
      </c>
    </row>
    <row r="4" spans="1:3">
      <c r="A4" s="6">
        <v>2</v>
      </c>
      <c r="B4" t="s">
        <v>752</v>
      </c>
      <c r="C4" t="s">
        <v>482</v>
      </c>
    </row>
    <row r="5" spans="1:3">
      <c r="A5" s="6">
        <v>3</v>
      </c>
      <c r="B5" t="s">
        <v>753</v>
      </c>
      <c r="C5" t="s">
        <v>668</v>
      </c>
    </row>
    <row r="6" spans="1:3">
      <c r="A6" s="6">
        <v>4</v>
      </c>
      <c r="B6" t="s">
        <v>753</v>
      </c>
      <c r="C6" t="s">
        <v>482</v>
      </c>
    </row>
    <row r="7" spans="1:3">
      <c r="A7" s="6"/>
    </row>
    <row r="8" spans="1:3">
      <c r="A8" s="6"/>
    </row>
    <row r="9" spans="1:3">
      <c r="A9" s="6"/>
    </row>
    <row r="10" spans="1:3">
      <c r="A1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9">
    <pageSetUpPr fitToPage="1"/>
  </sheetPr>
  <dimension ref="A1:H611"/>
  <sheetViews>
    <sheetView topLeftCell="A217" zoomScaleNormal="100" workbookViewId="0">
      <selection activeCell="C218" sqref="C218"/>
    </sheetView>
  </sheetViews>
  <sheetFormatPr defaultRowHeight="15"/>
  <cols>
    <col min="1" max="1" width="47.28515625" style="7" customWidth="1"/>
    <col min="2" max="2" width="14" bestFit="1" customWidth="1"/>
    <col min="3" max="3" width="13.7109375" style="20" customWidth="1"/>
  </cols>
  <sheetData>
    <row r="1" spans="1:3">
      <c r="A1" s="17" t="s">
        <v>119</v>
      </c>
      <c r="B1" s="16" t="s">
        <v>118</v>
      </c>
      <c r="C1" s="19" t="s">
        <v>120</v>
      </c>
    </row>
    <row r="2" spans="1:3">
      <c r="A2" s="17"/>
      <c r="B2" s="16"/>
      <c r="C2" s="19"/>
    </row>
    <row r="3" spans="1:3" ht="30">
      <c r="A3" s="7" t="s">
        <v>903</v>
      </c>
      <c r="C3" s="102">
        <v>1</v>
      </c>
    </row>
    <row r="5" spans="1:3">
      <c r="A5" s="17" t="s">
        <v>146</v>
      </c>
    </row>
    <row r="6" spans="1:3">
      <c r="A6" s="17"/>
    </row>
    <row r="7" spans="1:3" ht="30">
      <c r="A7" s="7" t="s">
        <v>117</v>
      </c>
      <c r="B7" t="s">
        <v>121</v>
      </c>
      <c r="C7" s="102">
        <v>1</v>
      </c>
    </row>
    <row r="9" spans="1:3" ht="30">
      <c r="A9" s="7" t="s">
        <v>150</v>
      </c>
      <c r="C9" s="102">
        <v>1</v>
      </c>
    </row>
    <row r="11" spans="1:3">
      <c r="A11" s="7" t="s">
        <v>147</v>
      </c>
      <c r="B11" t="s">
        <v>125</v>
      </c>
      <c r="C11" s="102">
        <v>1.3</v>
      </c>
    </row>
    <row r="12" spans="1:3">
      <c r="A12" s="7" t="s">
        <v>503</v>
      </c>
      <c r="C12" s="102">
        <v>1.3</v>
      </c>
    </row>
    <row r="13" spans="1:3">
      <c r="A13" s="7" t="s">
        <v>497</v>
      </c>
      <c r="C13" s="130">
        <f>Fuel!B79</f>
        <v>1.1499999999999999</v>
      </c>
    </row>
    <row r="14" spans="1:3">
      <c r="A14" s="7" t="s">
        <v>498</v>
      </c>
      <c r="C14" s="130">
        <f>Fuel!B75</f>
        <v>0.05</v>
      </c>
    </row>
    <row r="15" spans="1:3">
      <c r="A15" s="7" t="s">
        <v>127</v>
      </c>
      <c r="C15" s="130">
        <f>C13+C14</f>
        <v>1.2</v>
      </c>
    </row>
    <row r="16" spans="1:3">
      <c r="A16" s="7" t="s">
        <v>549</v>
      </c>
      <c r="C16" s="130">
        <v>0</v>
      </c>
    </row>
    <row r="17" spans="1:5">
      <c r="A17" s="7" t="s">
        <v>506</v>
      </c>
      <c r="C17" s="130">
        <f>Fuel!B81</f>
        <v>1.2</v>
      </c>
    </row>
    <row r="18" spans="1:5">
      <c r="C18" s="134"/>
    </row>
    <row r="19" spans="1:5">
      <c r="A19" s="7" t="s">
        <v>928</v>
      </c>
      <c r="B19" t="s">
        <v>770</v>
      </c>
      <c r="C19" s="102">
        <v>0.73</v>
      </c>
    </row>
    <row r="20" spans="1:5">
      <c r="A20" s="7" t="s">
        <v>504</v>
      </c>
      <c r="B20" t="s">
        <v>125</v>
      </c>
      <c r="C20" s="102">
        <v>231.7</v>
      </c>
    </row>
    <row r="21" spans="1:5">
      <c r="A21" s="7" t="s">
        <v>855</v>
      </c>
      <c r="B21" t="s">
        <v>856</v>
      </c>
      <c r="C21" s="116">
        <f>f_b_000_Interpolate2D(C19,C20,Stream!C85:E85,Stream!C86:Z88,Stream!C107:Z109)</f>
        <v>-1565.1</v>
      </c>
    </row>
    <row r="22" spans="1:5">
      <c r="A22" s="7" t="s">
        <v>929</v>
      </c>
      <c r="B22" t="s">
        <v>770</v>
      </c>
      <c r="C22" s="101">
        <v>0.23</v>
      </c>
    </row>
    <row r="23" spans="1:5">
      <c r="A23" s="7" t="s">
        <v>767</v>
      </c>
      <c r="B23" t="s">
        <v>125</v>
      </c>
      <c r="C23" s="102">
        <v>347</v>
      </c>
    </row>
    <row r="24" spans="1:5">
      <c r="A24" s="7" t="s">
        <v>857</v>
      </c>
      <c r="B24" t="s">
        <v>856</v>
      </c>
      <c r="C24" s="116">
        <f>f_b_000_Interpolate2D(C22,C23,Stream!C85:E85,Stream!C86:Z88,Stream!C107:Z109)</f>
        <v>-1157.7</v>
      </c>
    </row>
    <row r="25" spans="1:5" ht="30">
      <c r="A25" s="7" t="s">
        <v>148</v>
      </c>
      <c r="B25" t="s">
        <v>125</v>
      </c>
      <c r="C25" s="102">
        <v>80</v>
      </c>
    </row>
    <row r="26" spans="1:5">
      <c r="C26" s="134"/>
    </row>
    <row r="27" spans="1:5">
      <c r="A27" s="7" t="s">
        <v>904</v>
      </c>
      <c r="B27" t="s">
        <v>125</v>
      </c>
      <c r="C27" s="102">
        <v>368</v>
      </c>
      <c r="D27" s="22">
        <f>C20+C25</f>
        <v>311.7</v>
      </c>
    </row>
    <row r="28" spans="1:5">
      <c r="A28" s="7" t="s">
        <v>149</v>
      </c>
      <c r="B28" t="s">
        <v>125</v>
      </c>
      <c r="C28" s="116">
        <f>IF(C3=0,D28,C27)</f>
        <v>368</v>
      </c>
      <c r="D28" s="105">
        <f ca="1">C473</f>
        <v>358.83382723075556</v>
      </c>
      <c r="E28" s="184"/>
    </row>
    <row r="29" spans="1:5">
      <c r="C29" s="134"/>
    </row>
    <row r="30" spans="1:5">
      <c r="A30" s="7" t="s">
        <v>344</v>
      </c>
      <c r="B30" t="s">
        <v>95</v>
      </c>
      <c r="C30" s="102">
        <v>9700</v>
      </c>
    </row>
    <row r="31" spans="1:5">
      <c r="B31" t="s">
        <v>96</v>
      </c>
      <c r="C31" s="116">
        <f>C30/3600</f>
        <v>2.6944444444444446</v>
      </c>
    </row>
    <row r="32" spans="1:5">
      <c r="A32" s="7" t="s">
        <v>507</v>
      </c>
      <c r="B32" t="s">
        <v>213</v>
      </c>
      <c r="C32" s="101">
        <f>D32</f>
        <v>1.0977166666666665</v>
      </c>
      <c r="D32" s="105">
        <f>C31*(C24-C21)/1000</f>
        <v>1.0977166666666665</v>
      </c>
    </row>
    <row r="33" spans="1:7">
      <c r="C33" s="134"/>
    </row>
    <row r="34" spans="1:7" ht="30">
      <c r="A34" s="131" t="s">
        <v>134</v>
      </c>
      <c r="B34" t="s">
        <v>132</v>
      </c>
      <c r="C34" s="102">
        <f>35</f>
        <v>35</v>
      </c>
    </row>
    <row r="35" spans="1:7">
      <c r="A35" s="131" t="s">
        <v>135</v>
      </c>
      <c r="B35" s="129" t="s">
        <v>133</v>
      </c>
      <c r="C35" s="102">
        <v>125</v>
      </c>
    </row>
    <row r="36" spans="1:7" ht="30">
      <c r="A36" s="7" t="s">
        <v>510</v>
      </c>
      <c r="B36" t="s">
        <v>125</v>
      </c>
      <c r="C36" s="102">
        <v>400</v>
      </c>
    </row>
    <row r="41" spans="1:7">
      <c r="A41" s="17" t="s">
        <v>137</v>
      </c>
    </row>
    <row r="43" spans="1:7">
      <c r="A43" s="131" t="s">
        <v>145</v>
      </c>
      <c r="B43" s="129" t="s">
        <v>210</v>
      </c>
      <c r="C43" s="116">
        <f>Fuel!B37</f>
        <v>42675.964000000007</v>
      </c>
    </row>
    <row r="44" spans="1:7">
      <c r="A44" s="131" t="s">
        <v>490</v>
      </c>
      <c r="B44" s="129" t="s">
        <v>125</v>
      </c>
      <c r="C44" s="106">
        <v>60</v>
      </c>
    </row>
    <row r="45" spans="1:7">
      <c r="A45" s="131" t="s">
        <v>491</v>
      </c>
      <c r="B45" s="129" t="s">
        <v>492</v>
      </c>
      <c r="C45" s="128">
        <f>Fuel!B41</f>
        <v>1.8976047391304349</v>
      </c>
      <c r="D45">
        <f>C46/C44</f>
        <v>1.8976047391304349</v>
      </c>
    </row>
    <row r="46" spans="1:7">
      <c r="A46" s="131" t="s">
        <v>496</v>
      </c>
      <c r="B46" s="129" t="s">
        <v>210</v>
      </c>
      <c r="C46" s="116">
        <f>C45*C44</f>
        <v>113.85628434782609</v>
      </c>
      <c r="D46">
        <f>0.002*C43</f>
        <v>85.351928000000015</v>
      </c>
      <c r="G46" t="s">
        <v>495</v>
      </c>
    </row>
    <row r="47" spans="1:7">
      <c r="A47" s="131" t="s">
        <v>499</v>
      </c>
      <c r="B47" s="129" t="s">
        <v>210</v>
      </c>
      <c r="C47" s="116">
        <f>f_b_000_Interpolate(C11,Fuel!A159:A183,Fuel!B159:B183)</f>
        <v>19.289578271600003</v>
      </c>
    </row>
    <row r="48" spans="1:7">
      <c r="A48" s="131" t="s">
        <v>500</v>
      </c>
      <c r="B48" s="129" t="s">
        <v>210</v>
      </c>
      <c r="C48" s="116">
        <f>f_b_000_Interpolate(C12,Fuel!A159:A183,Fuel!B159:B183)</f>
        <v>19.289578271600003</v>
      </c>
    </row>
    <row r="49" spans="1:3" ht="30">
      <c r="A49" s="131" t="s">
        <v>501</v>
      </c>
      <c r="B49" s="129" t="s">
        <v>210</v>
      </c>
      <c r="C49" s="116">
        <f>C13*(C48-C47)</f>
        <v>0</v>
      </c>
    </row>
    <row r="50" spans="1:3" ht="30">
      <c r="A50" s="131" t="s">
        <v>144</v>
      </c>
      <c r="B50" s="129" t="s">
        <v>210</v>
      </c>
      <c r="C50" s="116">
        <f>C43+C46+C49</f>
        <v>42789.820284347836</v>
      </c>
    </row>
    <row r="51" spans="1:3" ht="30">
      <c r="A51" s="131" t="s">
        <v>143</v>
      </c>
      <c r="B51" s="129" t="s">
        <v>502</v>
      </c>
      <c r="C51" s="102">
        <v>1.5</v>
      </c>
    </row>
    <row r="52" spans="1:3" ht="30">
      <c r="A52" s="131" t="s">
        <v>142</v>
      </c>
      <c r="B52" s="129" t="s">
        <v>502</v>
      </c>
      <c r="C52" s="102">
        <v>0</v>
      </c>
    </row>
    <row r="53" spans="1:3" ht="30">
      <c r="A53" s="131" t="s">
        <v>141</v>
      </c>
      <c r="B53" s="129" t="s">
        <v>502</v>
      </c>
      <c r="C53" s="102">
        <v>0</v>
      </c>
    </row>
    <row r="54" spans="1:3" ht="30">
      <c r="A54" s="131" t="s">
        <v>505</v>
      </c>
      <c r="B54" s="129" t="s">
        <v>210</v>
      </c>
      <c r="C54" s="116">
        <f>f_b_000_Interpolate(C28,Fuel!A159:A183,Fuel!E159:E183)</f>
        <v>7664.9465829179862</v>
      </c>
    </row>
    <row r="55" spans="1:3">
      <c r="A55" s="131" t="s">
        <v>140</v>
      </c>
      <c r="B55" s="129" t="s">
        <v>502</v>
      </c>
      <c r="C55" s="116">
        <f>(C54-C17*C47)*(100-C52)/C50</f>
        <v>17.858918402112042</v>
      </c>
    </row>
    <row r="56" spans="1:3">
      <c r="A56" s="131" t="s">
        <v>139</v>
      </c>
      <c r="B56" s="129" t="s">
        <v>502</v>
      </c>
      <c r="C56" s="116">
        <f>100-C55-C53-C52-C51</f>
        <v>80.641081597887961</v>
      </c>
    </row>
    <row r="57" spans="1:3">
      <c r="A57" s="131" t="s">
        <v>138</v>
      </c>
      <c r="B57" s="129" t="s">
        <v>508</v>
      </c>
      <c r="C57" s="132">
        <f>C32*1000*100/C50/C56</f>
        <v>3.181218149920978E-2</v>
      </c>
    </row>
    <row r="58" spans="1:3">
      <c r="A58" s="131"/>
      <c r="B58" s="129" t="s">
        <v>215</v>
      </c>
      <c r="C58" s="133">
        <f>C57*3600</f>
        <v>114.52385339715521</v>
      </c>
    </row>
    <row r="59" spans="1:3">
      <c r="A59" s="131"/>
      <c r="B59" s="129" t="s">
        <v>96</v>
      </c>
      <c r="C59" s="132">
        <f>C57*Fuel!B87</f>
        <v>2.8986690344031119E-2</v>
      </c>
    </row>
    <row r="60" spans="1:3">
      <c r="A60" s="131"/>
      <c r="B60" s="129" t="s">
        <v>95</v>
      </c>
      <c r="C60" s="133">
        <f>C59*3600</f>
        <v>104.35208523851203</v>
      </c>
    </row>
    <row r="61" spans="1:3">
      <c r="A61" s="131" t="s">
        <v>128</v>
      </c>
      <c r="B61" s="129"/>
      <c r="C61" s="132">
        <f>1-(C51/(C51+C56))</f>
        <v>0.9817387357115277</v>
      </c>
    </row>
    <row r="62" spans="1:3">
      <c r="A62" s="131"/>
      <c r="B62" s="129"/>
    </row>
    <row r="63" spans="1:3">
      <c r="A63" s="62" t="s">
        <v>129</v>
      </c>
      <c r="B63" s="129"/>
    </row>
    <row r="64" spans="1:3">
      <c r="A64" s="62"/>
      <c r="B64" s="129"/>
    </row>
    <row r="65" spans="1:7">
      <c r="A65" s="131" t="s">
        <v>122</v>
      </c>
      <c r="B65" s="129" t="str">
        <f>IF(ТипСжигТопл=1,"кДж/м3","кДж/кг")</f>
        <v>кДж/м3</v>
      </c>
      <c r="C65" s="116">
        <f>C13*C48+C14*C47</f>
        <v>23.147493925920003</v>
      </c>
    </row>
    <row r="66" spans="1:7">
      <c r="A66" s="131" t="s">
        <v>123</v>
      </c>
      <c r="B66" s="129" t="str">
        <f>IF(ТипСжигТопл=1,"кДж/м3","кДж/кг")</f>
        <v>кДж/м3</v>
      </c>
      <c r="C66" s="116">
        <f>C43*(100-C53-C52)/(100-C52)+C65-C49</f>
        <v>42699.111493925928</v>
      </c>
    </row>
    <row r="67" spans="1:7">
      <c r="A67" s="131" t="s">
        <v>124</v>
      </c>
      <c r="B67" s="129" t="s">
        <v>125</v>
      </c>
      <c r="C67" s="116">
        <f>f_b_000_Interpolate(C66,Fuel!D159:D183,Fuel!A159:A183)</f>
        <v>1783.523154092095</v>
      </c>
    </row>
    <row r="68" spans="1:7">
      <c r="A68" s="131"/>
      <c r="B68" s="129" t="s">
        <v>570</v>
      </c>
      <c r="C68" s="116">
        <f>C67+273.15</f>
        <v>2056.673154092095</v>
      </c>
    </row>
    <row r="69" spans="1:7" ht="30">
      <c r="A69" s="131" t="s">
        <v>509</v>
      </c>
      <c r="B69" s="129" t="s">
        <v>125</v>
      </c>
      <c r="C69" s="44">
        <f>f_b_004_f_06_TetaFH2Graf(C34,C36)</f>
        <v>608</v>
      </c>
    </row>
    <row r="70" spans="1:7" ht="30">
      <c r="A70" s="131" t="s">
        <v>513</v>
      </c>
      <c r="B70" s="129"/>
      <c r="C70" s="135">
        <f>f_b_004_f_05_KPDFH(ТипСжигТопл,C69)/100</f>
        <v>0.69799999999999995</v>
      </c>
    </row>
    <row r="71" spans="1:7" ht="30">
      <c r="A71" s="131" t="s">
        <v>511</v>
      </c>
      <c r="B71" s="129" t="s">
        <v>125</v>
      </c>
      <c r="C71" s="101">
        <f ca="1">F71</f>
        <v>932.46252414560342</v>
      </c>
      <c r="D71" s="146"/>
      <c r="F71" s="105">
        <f ca="1">C190</f>
        <v>932.4625241456032</v>
      </c>
      <c r="G71" s="105">
        <f ca="1">C192</f>
        <v>0</v>
      </c>
    </row>
    <row r="72" spans="1:7">
      <c r="A72" s="131"/>
      <c r="B72" s="129" t="s">
        <v>570</v>
      </c>
      <c r="C72" s="116">
        <f ca="1">C71+273.15</f>
        <v>1205.6125241456034</v>
      </c>
      <c r="D72" s="66"/>
    </row>
    <row r="73" spans="1:7" ht="30">
      <c r="A73" s="131" t="s">
        <v>126</v>
      </c>
      <c r="B73" s="129" t="str">
        <f>IF(ТипСжигТопл=1,"кДж/м3","кДж/кг")</f>
        <v>кДж/м3</v>
      </c>
      <c r="C73" s="116">
        <f ca="1">f_b_000_Interpolate(C71,Fuel!A159:A183,Fuel!D159:D183)</f>
        <v>20796.274957303307</v>
      </c>
    </row>
    <row r="74" spans="1:7" ht="30">
      <c r="A74" s="131" t="s">
        <v>130</v>
      </c>
      <c r="B74" s="129" t="str">
        <f>IF(ТипСжигТопл=1,"кДж/м3","кДж/кг")</f>
        <v>кДж/м3</v>
      </c>
      <c r="C74" s="116">
        <f ca="1">C61*(C66-C73)</f>
        <v>21502.86304996015</v>
      </c>
    </row>
    <row r="75" spans="1:7">
      <c r="A75" s="131"/>
      <c r="B75" s="129" t="s">
        <v>213</v>
      </c>
      <c r="C75" s="141">
        <f ca="1">C74*C57/1000</f>
        <v>0.68405298209798393</v>
      </c>
      <c r="E75">
        <f ca="1">C75/C32</f>
        <v>0.6231598761957251</v>
      </c>
    </row>
    <row r="76" spans="1:7">
      <c r="A76" s="137" t="s">
        <v>512</v>
      </c>
      <c r="B76" s="142" t="s">
        <v>121</v>
      </c>
      <c r="C76" s="144">
        <f ca="1">(C67-C71)/(C67-C11)</f>
        <v>0.47752753519804941</v>
      </c>
    </row>
    <row r="77" spans="1:7">
      <c r="A77" s="131"/>
      <c r="B77" s="129"/>
      <c r="C77" s="136"/>
    </row>
    <row r="78" spans="1:7" ht="30">
      <c r="A78" s="137" t="s">
        <v>131</v>
      </c>
      <c r="B78" s="142" t="s">
        <v>132</v>
      </c>
      <c r="C78" s="141">
        <f ca="1">C74*C57/C90</f>
        <v>20.374195393564889</v>
      </c>
      <c r="D78" s="73">
        <f>C34</f>
        <v>35</v>
      </c>
    </row>
    <row r="79" spans="1:7" ht="30">
      <c r="A79" s="137" t="s">
        <v>565</v>
      </c>
      <c r="B79" s="142" t="s">
        <v>133</v>
      </c>
      <c r="C79" s="141">
        <f ca="1">C74*C57/C107</f>
        <v>89.901933702527472</v>
      </c>
      <c r="D79" s="73">
        <f>C35</f>
        <v>125</v>
      </c>
    </row>
    <row r="80" spans="1:7">
      <c r="A80" s="131"/>
      <c r="B80" s="129"/>
      <c r="C80" s="136"/>
    </row>
    <row r="81" spans="1:4">
      <c r="A81" s="62" t="s">
        <v>514</v>
      </c>
      <c r="B81" s="129"/>
      <c r="C81" s="136"/>
    </row>
    <row r="82" spans="1:4">
      <c r="A82" s="131" t="s">
        <v>515</v>
      </c>
      <c r="B82" s="129" t="s">
        <v>113</v>
      </c>
      <c r="C82" s="139">
        <v>89</v>
      </c>
    </row>
    <row r="83" spans="1:4">
      <c r="A83" s="131" t="s">
        <v>351</v>
      </c>
      <c r="B83" s="129" t="s">
        <v>113</v>
      </c>
      <c r="C83" s="139">
        <v>5</v>
      </c>
      <c r="D83" s="22">
        <f>f_b_002_f_03_Smin(C82)</f>
        <v>5</v>
      </c>
    </row>
    <row r="84" spans="1:4">
      <c r="A84" s="131" t="s">
        <v>516</v>
      </c>
      <c r="B84" s="129" t="s">
        <v>113</v>
      </c>
      <c r="C84" s="139">
        <v>160</v>
      </c>
    </row>
    <row r="85" spans="1:4">
      <c r="A85" s="131" t="s">
        <v>522</v>
      </c>
      <c r="B85" s="129" t="s">
        <v>113</v>
      </c>
      <c r="C85" s="139">
        <v>120</v>
      </c>
      <c r="D85" s="22">
        <f>MAX(1.5*C82,100)</f>
        <v>133.5</v>
      </c>
    </row>
    <row r="86" spans="1:4">
      <c r="A86" s="131" t="s">
        <v>376</v>
      </c>
      <c r="B86" s="129" t="s">
        <v>113</v>
      </c>
      <c r="C86" s="139">
        <v>3500</v>
      </c>
    </row>
    <row r="87" spans="1:4">
      <c r="A87" s="131" t="s">
        <v>517</v>
      </c>
      <c r="B87" s="129"/>
      <c r="C87" s="139">
        <v>30</v>
      </c>
    </row>
    <row r="88" spans="1:4">
      <c r="A88" s="131" t="s">
        <v>112</v>
      </c>
      <c r="B88" s="129"/>
      <c r="C88" s="139">
        <v>1</v>
      </c>
    </row>
    <row r="89" spans="1:4">
      <c r="A89" s="131"/>
      <c r="B89" s="129"/>
      <c r="C89" s="138"/>
    </row>
    <row r="90" spans="1:4">
      <c r="A90" s="137" t="s">
        <v>556</v>
      </c>
      <c r="B90" s="129" t="s">
        <v>352</v>
      </c>
      <c r="C90" s="141">
        <f>C87*(C86+C84*PI())/1000*PI()*C82/1000</f>
        <v>33.574478347941991</v>
      </c>
    </row>
    <row r="91" spans="1:4">
      <c r="A91" s="131"/>
      <c r="B91" s="129"/>
      <c r="C91" s="136"/>
    </row>
    <row r="92" spans="1:4">
      <c r="A92" s="131" t="s">
        <v>521</v>
      </c>
      <c r="B92" s="129" t="s">
        <v>152</v>
      </c>
      <c r="C92" s="132">
        <f>C87*C84/1000/PI()</f>
        <v>1.5278874536821951</v>
      </c>
    </row>
    <row r="93" spans="1:4">
      <c r="A93" s="131"/>
      <c r="B93" s="129"/>
      <c r="C93" s="136"/>
    </row>
    <row r="94" spans="1:4">
      <c r="A94" s="131" t="s">
        <v>384</v>
      </c>
      <c r="B94" s="129" t="s">
        <v>152</v>
      </c>
      <c r="C94" s="140">
        <v>1.53</v>
      </c>
    </row>
    <row r="95" spans="1:4">
      <c r="A95" s="131" t="s">
        <v>385</v>
      </c>
      <c r="B95" s="129" t="s">
        <v>152</v>
      </c>
      <c r="C95" s="140">
        <v>4.1500000000000004</v>
      </c>
    </row>
    <row r="96" spans="1:4">
      <c r="A96" s="131"/>
      <c r="B96" s="129"/>
      <c r="C96" s="136"/>
    </row>
    <row r="97" spans="1:3">
      <c r="A97" s="131" t="s">
        <v>518</v>
      </c>
      <c r="B97" s="129" t="s">
        <v>152</v>
      </c>
      <c r="C97" s="140">
        <v>0.5</v>
      </c>
    </row>
    <row r="98" spans="1:3">
      <c r="A98" s="131" t="s">
        <v>519</v>
      </c>
      <c r="B98" s="129" t="s">
        <v>152</v>
      </c>
      <c r="C98" s="132">
        <f>C92</f>
        <v>1.5278874536821951</v>
      </c>
    </row>
    <row r="99" spans="1:3">
      <c r="A99" s="131"/>
      <c r="B99" s="129"/>
      <c r="C99" s="136"/>
    </row>
    <row r="100" spans="1:3" ht="30">
      <c r="A100" s="131" t="s">
        <v>534</v>
      </c>
      <c r="B100" s="129" t="s">
        <v>352</v>
      </c>
      <c r="C100" s="116">
        <f>PI()*C92*(C86+C84)/1000</f>
        <v>17.568000000000001</v>
      </c>
    </row>
    <row r="101" spans="1:3" ht="30">
      <c r="A101" s="131" t="s">
        <v>535</v>
      </c>
      <c r="B101" s="129" t="s">
        <v>352</v>
      </c>
      <c r="C101" s="116">
        <v>0</v>
      </c>
    </row>
    <row r="102" spans="1:3">
      <c r="A102" s="131" t="s">
        <v>524</v>
      </c>
      <c r="B102" s="129" t="s">
        <v>352</v>
      </c>
      <c r="C102" s="116">
        <f>C97*C98</f>
        <v>0.76394372684109757</v>
      </c>
    </row>
    <row r="103" spans="1:3" hidden="1">
      <c r="A103" s="131" t="s">
        <v>526</v>
      </c>
      <c r="B103" s="129" t="s">
        <v>352</v>
      </c>
      <c r="C103" s="101">
        <v>0</v>
      </c>
    </row>
    <row r="104" spans="1:3">
      <c r="A104" s="131" t="s">
        <v>527</v>
      </c>
      <c r="B104" s="129" t="s">
        <v>352</v>
      </c>
      <c r="C104" s="116">
        <f>C105-C103-C102-C100</f>
        <v>5.2549861619961717</v>
      </c>
    </row>
    <row r="105" spans="1:3">
      <c r="A105" s="131" t="s">
        <v>525</v>
      </c>
      <c r="B105" s="129" t="s">
        <v>352</v>
      </c>
      <c r="C105" s="116">
        <f>f_b_000_S_cylindr(C92,C95)</f>
        <v>23.586929888837272</v>
      </c>
    </row>
    <row r="106" spans="1:3">
      <c r="A106" s="131"/>
      <c r="B106" s="129"/>
      <c r="C106" s="136"/>
    </row>
    <row r="107" spans="1:3">
      <c r="A107" s="131" t="s">
        <v>528</v>
      </c>
      <c r="B107" s="129" t="s">
        <v>520</v>
      </c>
      <c r="C107" s="116">
        <f>f_b_000_V_cylindr(C92,C95)</f>
        <v>7.6088795193373322</v>
      </c>
    </row>
    <row r="108" spans="1:3">
      <c r="A108" s="131"/>
      <c r="B108" s="129"/>
      <c r="C108" s="136"/>
    </row>
    <row r="109" spans="1:3" ht="30">
      <c r="A109" s="131" t="s">
        <v>529</v>
      </c>
      <c r="B109" s="129"/>
      <c r="C109" s="132">
        <f>(C85-C82/2)/C82</f>
        <v>0.848314606741573</v>
      </c>
    </row>
    <row r="110" spans="1:3">
      <c r="A110" s="131"/>
      <c r="B110" s="129"/>
      <c r="C110" s="136"/>
    </row>
    <row r="111" spans="1:3">
      <c r="A111" s="131" t="s">
        <v>537</v>
      </c>
      <c r="B111" s="129"/>
      <c r="C111" s="139">
        <v>1</v>
      </c>
    </row>
    <row r="112" spans="1:3">
      <c r="A112" s="131" t="s">
        <v>538</v>
      </c>
      <c r="B112" s="129"/>
      <c r="C112" s="128">
        <f>C84/C82</f>
        <v>1.797752808988764</v>
      </c>
    </row>
    <row r="113" spans="1:3" ht="30">
      <c r="A113" s="131" t="s">
        <v>539</v>
      </c>
      <c r="B113" s="129"/>
      <c r="C113" s="128">
        <f>C85/C82</f>
        <v>1.348314606741573</v>
      </c>
    </row>
    <row r="114" spans="1:3">
      <c r="A114" s="131" t="s">
        <v>530</v>
      </c>
      <c r="B114" s="129"/>
      <c r="C114" s="128">
        <f>f_b_003_f_31_xTrEkran(C111,C113,C112)</f>
        <v>0.91747590792408362</v>
      </c>
    </row>
    <row r="115" spans="1:3" hidden="1">
      <c r="A115" s="131" t="s">
        <v>531</v>
      </c>
      <c r="B115" s="129"/>
      <c r="C115" s="101">
        <v>1</v>
      </c>
    </row>
    <row r="116" spans="1:3" hidden="1">
      <c r="A116" s="131" t="s">
        <v>532</v>
      </c>
      <c r="B116" s="129"/>
      <c r="C116" s="101">
        <v>1</v>
      </c>
    </row>
    <row r="117" spans="1:3" hidden="1">
      <c r="A117" s="131" t="s">
        <v>536</v>
      </c>
      <c r="B117" s="129"/>
      <c r="C117" s="136">
        <f>f_b_003_f_31_xTrEkran(3,C113,C112)</f>
        <v>0.98404494382022467</v>
      </c>
    </row>
    <row r="118" spans="1:3">
      <c r="A118" s="131"/>
      <c r="B118" s="129"/>
      <c r="C118" s="136"/>
    </row>
    <row r="119" spans="1:3">
      <c r="A119" s="137" t="s">
        <v>523</v>
      </c>
      <c r="B119" s="129" t="s">
        <v>352</v>
      </c>
      <c r="C119" s="141">
        <f>C100*C114+C101*C117</f>
        <v>16.118216750410301</v>
      </c>
    </row>
    <row r="120" spans="1:3">
      <c r="A120" s="131" t="s">
        <v>555</v>
      </c>
      <c r="B120" s="129"/>
      <c r="C120" s="132">
        <f ca="1">f_b_003_f_36_Bo(C61,C57,C122*1000,C67,C119)</f>
        <v>0.1010893123380841</v>
      </c>
    </row>
    <row r="121" spans="1:3">
      <c r="A121" s="131"/>
      <c r="B121" s="129"/>
    </row>
    <row r="122" spans="1:3" ht="30">
      <c r="A122" s="131" t="s">
        <v>136</v>
      </c>
      <c r="B122" s="129" t="str">
        <f>IF(ТипСжигТопл=1,"кДж/(м3*К)","кДж/(кг*К)")</f>
        <v>кДж/(м3*К)</v>
      </c>
      <c r="C122" s="116">
        <f ca="1">(C66-C73)/(C67-C71)</f>
        <v>25.735929692811322</v>
      </c>
    </row>
    <row r="123" spans="1:3">
      <c r="A123" s="131" t="s">
        <v>533</v>
      </c>
      <c r="B123" s="129" t="s">
        <v>152</v>
      </c>
      <c r="C123" s="132">
        <f>3.6*C107/C105</f>
        <v>1.1613196969130728</v>
      </c>
    </row>
    <row r="124" spans="1:3" ht="30">
      <c r="A124" s="131" t="s">
        <v>540</v>
      </c>
      <c r="B124" s="129" t="s">
        <v>541</v>
      </c>
      <c r="C124" s="102">
        <v>1</v>
      </c>
    </row>
    <row r="125" spans="1:3">
      <c r="A125" s="131" t="s">
        <v>543</v>
      </c>
      <c r="B125" s="129" t="s">
        <v>541</v>
      </c>
      <c r="C125" s="132">
        <f>C124*Fuel!C116</f>
        <v>0.24953073885047433</v>
      </c>
    </row>
    <row r="126" spans="1:3" ht="30">
      <c r="A126" s="131" t="s">
        <v>542</v>
      </c>
      <c r="B126" s="129" t="s">
        <v>544</v>
      </c>
      <c r="C126" s="132">
        <f ca="1">f_b_003_f_32_kgrp(C71,Fuel!C114,Fuel!C116,C124,C123)</f>
        <v>0.16179250532200945</v>
      </c>
    </row>
    <row r="127" spans="1:3" ht="30">
      <c r="A127" s="131" t="s">
        <v>545</v>
      </c>
      <c r="B127" s="129"/>
      <c r="C127" s="128">
        <f>Fuel!B42</f>
        <v>3.1194500000000001</v>
      </c>
    </row>
    <row r="128" spans="1:3" ht="30">
      <c r="A128" s="131" t="s">
        <v>548</v>
      </c>
      <c r="B128" s="129" t="s">
        <v>544</v>
      </c>
      <c r="C128" s="132">
        <f ca="1">f_b_003_f_34_kAsh(0,C71,C15,C127)</f>
        <v>0.10698316275632651</v>
      </c>
    </row>
    <row r="129" spans="1:3" ht="30">
      <c r="A129" s="131" t="s">
        <v>551</v>
      </c>
      <c r="B129" s="129" t="s">
        <v>544</v>
      </c>
      <c r="C129" s="132">
        <f ca="1">C126+C128</f>
        <v>0.26877566807833597</v>
      </c>
    </row>
    <row r="130" spans="1:3">
      <c r="A130" s="7" t="s">
        <v>550</v>
      </c>
      <c r="C130" s="132">
        <f ca="1">f_b_003_f_35_aGas(C126+C128,C124,C123)</f>
        <v>0.26811690011903988</v>
      </c>
    </row>
    <row r="131" spans="1:3">
      <c r="A131" s="7" t="s">
        <v>552</v>
      </c>
      <c r="C131" s="132">
        <f ca="1">f_b_003_f_35_aGas(C126,C124,C123)</f>
        <v>0.17129647977123685</v>
      </c>
    </row>
    <row r="132" spans="1:3" ht="30">
      <c r="A132" s="7" t="s">
        <v>553</v>
      </c>
      <c r="C132" s="102">
        <v>0.1</v>
      </c>
    </row>
    <row r="133" spans="1:3">
      <c r="A133" s="43" t="s">
        <v>554</v>
      </c>
      <c r="B133" s="6"/>
      <c r="C133" s="144">
        <f ca="1">C132*C130+(1-C132)*C131</f>
        <v>0.18097852180601715</v>
      </c>
    </row>
    <row r="134" spans="1:3">
      <c r="A134" s="7" t="s">
        <v>557</v>
      </c>
      <c r="C134" s="132">
        <f>C119/(C119+C104)</f>
        <v>0.75413202300410398</v>
      </c>
    </row>
    <row r="135" spans="1:3" ht="45">
      <c r="A135" s="7" t="s">
        <v>559</v>
      </c>
      <c r="C135" s="102">
        <v>0.9</v>
      </c>
    </row>
    <row r="136" spans="1:3" ht="30">
      <c r="A136" s="7" t="s">
        <v>558</v>
      </c>
      <c r="C136" s="130">
        <f>1-C135</f>
        <v>9.9999999999999978E-2</v>
      </c>
    </row>
    <row r="137" spans="1:3">
      <c r="A137" s="7" t="s">
        <v>560</v>
      </c>
      <c r="C137" s="132">
        <f ca="1">f_b_003_f_37_DeltaKsi(1,C133,C134)</f>
        <v>0.98481721457755234</v>
      </c>
    </row>
    <row r="138" spans="1:3" ht="30">
      <c r="A138" s="7" t="s">
        <v>564</v>
      </c>
      <c r="C138" s="132">
        <f ca="1">f_b_003_f_39_A_FH(1,C133,C134,C135,C137)</f>
        <v>0.22360697349057015</v>
      </c>
    </row>
    <row r="139" spans="1:3">
      <c r="A139" s="7" t="s">
        <v>561</v>
      </c>
      <c r="C139" s="130">
        <f>f_b_003_f_41_BetaFH(C134)</f>
        <v>0.9</v>
      </c>
    </row>
    <row r="140" spans="1:3" ht="30">
      <c r="A140" s="7" t="s">
        <v>562</v>
      </c>
      <c r="C140" s="132">
        <f ca="1">C138*C139</f>
        <v>0.20124627614151314</v>
      </c>
    </row>
    <row r="141" spans="1:3" ht="30">
      <c r="A141" s="43" t="s">
        <v>563</v>
      </c>
      <c r="B141" s="129" t="s">
        <v>352</v>
      </c>
      <c r="C141" s="141">
        <f ca="1">C119*C140</f>
        <v>3.2437310990618342</v>
      </c>
    </row>
    <row r="143" spans="1:3" ht="30">
      <c r="A143" s="17" t="s">
        <v>573</v>
      </c>
    </row>
    <row r="144" spans="1:3">
      <c r="A144" s="17"/>
    </row>
    <row r="145" spans="1:3">
      <c r="A145" s="178"/>
    </row>
    <row r="146" spans="1:3" ht="30">
      <c r="A146" s="178" t="s">
        <v>870</v>
      </c>
      <c r="B146" t="s">
        <v>125</v>
      </c>
      <c r="C146" s="116">
        <f ca="1">f_b_000_Interpolate2D(C22,C147,Stream!C85:E85,Stream!C107:Z109,Stream!C86:Z88)</f>
        <v>273.70441499404018</v>
      </c>
    </row>
    <row r="147" spans="1:3" ht="30">
      <c r="A147" s="178" t="s">
        <v>871</v>
      </c>
      <c r="B147" t="s">
        <v>856</v>
      </c>
      <c r="C147" s="116">
        <f ca="1">C24-C75*1000/C31</f>
        <v>-1411.5753335621384</v>
      </c>
    </row>
    <row r="148" spans="1:3" ht="30">
      <c r="A148" s="18" t="s">
        <v>872</v>
      </c>
      <c r="B148" t="s">
        <v>125</v>
      </c>
      <c r="C148" s="130">
        <f>C23</f>
        <v>347</v>
      </c>
    </row>
    <row r="149" spans="1:3" ht="30">
      <c r="A149" s="18" t="s">
        <v>873</v>
      </c>
      <c r="B149" t="s">
        <v>856</v>
      </c>
      <c r="C149" s="116">
        <f>C24</f>
        <v>-1157.7</v>
      </c>
    </row>
    <row r="150" spans="1:3">
      <c r="A150" s="17"/>
    </row>
    <row r="151" spans="1:3">
      <c r="A151" s="17"/>
    </row>
    <row r="152" spans="1:3">
      <c r="A152" s="137" t="s">
        <v>755</v>
      </c>
      <c r="B152" s="129"/>
      <c r="C152" s="129"/>
    </row>
    <row r="153" spans="1:3">
      <c r="A153" s="131" t="s">
        <v>756</v>
      </c>
      <c r="B153" s="129" t="s">
        <v>207</v>
      </c>
      <c r="C153" s="101">
        <v>660</v>
      </c>
    </row>
    <row r="154" spans="1:3">
      <c r="A154" s="131" t="s">
        <v>764</v>
      </c>
      <c r="B154" s="129" t="s">
        <v>765</v>
      </c>
      <c r="C154" s="140">
        <v>2.7</v>
      </c>
    </row>
    <row r="155" spans="1:3">
      <c r="A155" s="131" t="s">
        <v>757</v>
      </c>
      <c r="B155" s="129" t="s">
        <v>721</v>
      </c>
      <c r="C155" s="140">
        <v>9.9000000000000005E-2</v>
      </c>
    </row>
    <row r="156" spans="1:3">
      <c r="A156" s="131" t="s">
        <v>758</v>
      </c>
      <c r="B156" s="129" t="s">
        <v>710</v>
      </c>
      <c r="C156" s="171">
        <v>9.1810000000000005E-7</v>
      </c>
    </row>
    <row r="157" spans="1:3">
      <c r="A157" s="137" t="s">
        <v>711</v>
      </c>
      <c r="B157" s="129"/>
      <c r="C157" s="133">
        <f>f_b_004_f_20_Reynolds(C160,(C98-2*C99)/1000,C156)</f>
        <v>1386.0618536491854</v>
      </c>
    </row>
    <row r="158" spans="1:3">
      <c r="A158" s="137" t="s">
        <v>712</v>
      </c>
      <c r="B158" s="129"/>
      <c r="C158" s="128">
        <f>C156*C153*C154*1000/C155</f>
        <v>16.5258</v>
      </c>
    </row>
    <row r="159" spans="1:3">
      <c r="A159" s="137" t="s">
        <v>713</v>
      </c>
      <c r="B159" s="129"/>
      <c r="C159" s="133">
        <f>C157*C158</f>
        <v>22905.78098103571</v>
      </c>
    </row>
    <row r="160" spans="1:3">
      <c r="A160" s="131" t="s">
        <v>759</v>
      </c>
      <c r="B160" s="129" t="s">
        <v>249</v>
      </c>
      <c r="C160" s="128">
        <f>C31/C153/(PI()*0.25*(C82-2*C83)/1000*(C82-2*C83)/1000*C88)</f>
        <v>0.83287769970785397</v>
      </c>
    </row>
    <row r="161" spans="1:4">
      <c r="A161" s="131"/>
      <c r="B161" s="129"/>
      <c r="C161" s="111"/>
    </row>
    <row r="162" spans="1:4" ht="30">
      <c r="A162" s="137" t="s">
        <v>766</v>
      </c>
      <c r="B162" s="142" t="s">
        <v>614</v>
      </c>
      <c r="C162" s="189">
        <v>1600</v>
      </c>
    </row>
    <row r="163" spans="1:4">
      <c r="A163" s="137"/>
      <c r="B163" s="142"/>
      <c r="C163" s="169"/>
    </row>
    <row r="164" spans="1:4" ht="75">
      <c r="A164" s="131" t="s">
        <v>999</v>
      </c>
      <c r="B164" s="142"/>
      <c r="C164" s="103">
        <v>4</v>
      </c>
    </row>
    <row r="165" spans="1:4">
      <c r="A165" s="131" t="s">
        <v>761</v>
      </c>
      <c r="B165" s="129" t="s">
        <v>762</v>
      </c>
      <c r="C165" s="180">
        <f ca="1">f_b_003_f_71_LambdaMet(C164,0.5*(C146+C148)+50)</f>
        <v>37.58348416130513</v>
      </c>
    </row>
    <row r="166" spans="1:4" ht="45">
      <c r="A166" s="157" t="s">
        <v>760</v>
      </c>
      <c r="B166" s="170" t="s">
        <v>568</v>
      </c>
      <c r="C166" s="201">
        <v>5.2999999999999998E-4</v>
      </c>
    </row>
    <row r="167" spans="1:4" ht="45">
      <c r="A167" s="131" t="s">
        <v>763</v>
      </c>
      <c r="B167" s="170" t="s">
        <v>568</v>
      </c>
      <c r="C167" s="172">
        <v>4.0000000000000002E-4</v>
      </c>
    </row>
    <row r="168" spans="1:4">
      <c r="A168" s="137"/>
      <c r="B168" s="142"/>
      <c r="C168" s="169"/>
    </row>
    <row r="169" spans="1:4" ht="30">
      <c r="A169" s="7" t="s">
        <v>566</v>
      </c>
      <c r="B169" s="129" t="s">
        <v>125</v>
      </c>
      <c r="C169" s="116">
        <f ca="1">0.5*(C146+C148)</f>
        <v>310.35220749702012</v>
      </c>
    </row>
    <row r="170" spans="1:4" ht="30">
      <c r="A170" s="131" t="s">
        <v>567</v>
      </c>
      <c r="B170" s="129" t="s">
        <v>568</v>
      </c>
      <c r="C170" s="102">
        <v>2.5000000000000001E-3</v>
      </c>
      <c r="D170" s="151">
        <f ca="1">1/C162+C83/1000/C165+C166+C167</f>
        <v>1.6880371601137461E-3</v>
      </c>
    </row>
    <row r="171" spans="1:4">
      <c r="A171" s="131" t="s">
        <v>798</v>
      </c>
      <c r="B171" s="129" t="s">
        <v>125</v>
      </c>
      <c r="C171" s="116">
        <f ca="1">C170*C78*1000</f>
        <v>50.935488483912224</v>
      </c>
      <c r="D171" s="150"/>
    </row>
    <row r="172" spans="1:4" ht="30">
      <c r="A172" s="7" t="s">
        <v>569</v>
      </c>
      <c r="B172" s="129" t="s">
        <v>125</v>
      </c>
      <c r="C172" s="116">
        <f ca="1">C169+C170*C78*1000</f>
        <v>361.28769598093231</v>
      </c>
    </row>
    <row r="173" spans="1:4">
      <c r="B173" s="129" t="s">
        <v>570</v>
      </c>
      <c r="C173" s="116">
        <f ca="1">C172+273.15</f>
        <v>634.43769598093229</v>
      </c>
    </row>
    <row r="174" spans="1:4" ht="30">
      <c r="A174" s="43" t="s">
        <v>583</v>
      </c>
      <c r="B174" s="6"/>
      <c r="C174" s="141">
        <f ca="1">(C172+273.15)/(C71+273.15)</f>
        <v>0.52623681595423644</v>
      </c>
    </row>
    <row r="176" spans="1:4" ht="30">
      <c r="A176" s="131" t="s">
        <v>571</v>
      </c>
      <c r="B176" s="129" t="s">
        <v>152</v>
      </c>
      <c r="C176" s="132">
        <f>C95</f>
        <v>4.1500000000000004</v>
      </c>
    </row>
    <row r="177" spans="1:4" ht="30">
      <c r="A177" s="7" t="s">
        <v>572</v>
      </c>
      <c r="B177" s="129" t="s">
        <v>152</v>
      </c>
      <c r="C177" s="102">
        <v>2.2999999999999998</v>
      </c>
    </row>
    <row r="178" spans="1:4">
      <c r="A178" s="43" t="s">
        <v>574</v>
      </c>
      <c r="B178" s="6"/>
      <c r="C178" s="143">
        <f ca="1">f_b_003_f_42_TetaEf4(1,1,C169,C176,C177)</f>
        <v>1.2837349397590361</v>
      </c>
    </row>
    <row r="179" spans="1:4" ht="30">
      <c r="A179" s="7" t="s">
        <v>575</v>
      </c>
      <c r="C179" s="132">
        <f ca="1">IF(C172&gt;=500,1-0.00035*(C172-500),1)</f>
        <v>1</v>
      </c>
    </row>
    <row r="180" spans="1:4">
      <c r="C180" s="132"/>
    </row>
    <row r="181" spans="1:4" ht="30">
      <c r="A181" s="7" t="s">
        <v>578</v>
      </c>
      <c r="B181" s="129" t="s">
        <v>579</v>
      </c>
      <c r="C181" s="102">
        <v>1.8</v>
      </c>
    </row>
    <row r="182" spans="1:4">
      <c r="B182" t="s">
        <v>580</v>
      </c>
      <c r="C182" s="101">
        <f>C181*1000*4.1868/3600</f>
        <v>2.0933999999999999</v>
      </c>
    </row>
    <row r="183" spans="1:4" ht="45">
      <c r="A183" s="7" t="s">
        <v>576</v>
      </c>
      <c r="B183" s="83" t="s">
        <v>577</v>
      </c>
      <c r="C183" s="116">
        <f ca="1">f_b_003_f_43_AlfaKGBelokon(C182,C71,C169,C170,C78*1000)</f>
        <v>10.233978134924142</v>
      </c>
      <c r="D183" s="66"/>
    </row>
    <row r="185" spans="1:4">
      <c r="A185" s="62" t="s">
        <v>581</v>
      </c>
    </row>
    <row r="187" spans="1:4" ht="30">
      <c r="A187" s="7" t="s">
        <v>582</v>
      </c>
      <c r="C187" s="132">
        <f ca="1">f_b_003_f_44_KT(C71,C140,C178,C174,C183,C90,C119)</f>
        <v>0.35423063251639542</v>
      </c>
    </row>
    <row r="188" spans="1:4">
      <c r="A188" s="7" t="s">
        <v>584</v>
      </c>
      <c r="C188" s="132">
        <f ca="1">C187/C120</f>
        <v>3.5041353464914566</v>
      </c>
    </row>
    <row r="189" spans="1:4" ht="30">
      <c r="A189" s="7" t="s">
        <v>585</v>
      </c>
      <c r="C189" s="132">
        <f ca="1">f_b_003_f_45_TetaT2OtnKT(C188)</f>
        <v>0.58619548845028469</v>
      </c>
    </row>
    <row r="190" spans="1:4">
      <c r="A190" s="7" t="s">
        <v>586</v>
      </c>
      <c r="B190" t="s">
        <v>98</v>
      </c>
      <c r="C190" s="145">
        <f ca="1">C191-273.15</f>
        <v>932.4625241456032</v>
      </c>
      <c r="D190" s="66"/>
    </row>
    <row r="191" spans="1:4">
      <c r="B191" t="s">
        <v>587</v>
      </c>
      <c r="C191" s="116">
        <f ca="1">C189*(C67+273.15)</f>
        <v>1205.6125241456032</v>
      </c>
    </row>
    <row r="192" spans="1:4" ht="30">
      <c r="A192" s="7" t="s">
        <v>588</v>
      </c>
      <c r="B192" t="s">
        <v>125</v>
      </c>
      <c r="C192" s="116">
        <f ca="1">C190-C71</f>
        <v>0</v>
      </c>
      <c r="D192" s="22">
        <v>2</v>
      </c>
    </row>
    <row r="194" spans="1:5">
      <c r="A194" s="62" t="s">
        <v>589</v>
      </c>
      <c r="E194" s="99"/>
    </row>
    <row r="195" spans="1:5">
      <c r="A195" s="7" t="s">
        <v>591</v>
      </c>
      <c r="C195" s="116">
        <f ca="1">C90/C141</f>
        <v>10.350573867745247</v>
      </c>
      <c r="E195" s="136"/>
    </row>
    <row r="196" spans="1:5" ht="15.75">
      <c r="A196" s="59" t="s">
        <v>592</v>
      </c>
      <c r="B196" t="s">
        <v>132</v>
      </c>
      <c r="C196" s="116">
        <f ca="1">C183*(C71-C172)/1000</f>
        <v>5.8453907026562986</v>
      </c>
      <c r="E196" s="136"/>
    </row>
    <row r="197" spans="1:5">
      <c r="A197" s="7" t="s">
        <v>593</v>
      </c>
      <c r="B197" t="s">
        <v>98</v>
      </c>
      <c r="C197" s="145">
        <f ca="1">f_b_003_f_46_TetaT2(C178,C90,C119,C140,C78*1000,C196*1000,C172)</f>
        <v>925.73339813486734</v>
      </c>
      <c r="E197" s="99"/>
    </row>
    <row r="198" spans="1:5">
      <c r="B198" t="s">
        <v>587</v>
      </c>
      <c r="C198" s="116">
        <f ca="1">C197+273.15</f>
        <v>1198.8833981348673</v>
      </c>
      <c r="E198" s="99"/>
    </row>
    <row r="199" spans="1:5" ht="30">
      <c r="A199" s="7" t="s">
        <v>588</v>
      </c>
      <c r="B199" t="s">
        <v>125</v>
      </c>
      <c r="C199" s="116">
        <f ca="1">C197-C71</f>
        <v>-6.7291260107360813</v>
      </c>
      <c r="D199" s="22">
        <v>50</v>
      </c>
      <c r="E199" s="99"/>
    </row>
    <row r="201" spans="1:5">
      <c r="A201" s="62" t="s">
        <v>590</v>
      </c>
    </row>
    <row r="203" spans="1:5" ht="30">
      <c r="A203" s="7" t="s">
        <v>594</v>
      </c>
      <c r="B203" s="129" t="s">
        <v>125</v>
      </c>
      <c r="C203" s="116">
        <f ca="1">f_b_003_f_47_DeltaTBelokon(C67,C172,C71,C73*1000,C57,C183,C90,C119,C140)</f>
        <v>435.74615621733784</v>
      </c>
    </row>
    <row r="204" spans="1:5">
      <c r="A204" s="7" t="s">
        <v>595</v>
      </c>
      <c r="B204" t="s">
        <v>125</v>
      </c>
      <c r="C204" s="132">
        <f ca="1">f_b_003_f_48_XBelokon(C67,C203,C71,C73*1000,C57,C183,C90,C119,C140)</f>
        <v>0.74384045406418553</v>
      </c>
    </row>
    <row r="205" spans="1:5">
      <c r="A205" s="7" t="s">
        <v>596</v>
      </c>
      <c r="C205" s="132">
        <f ca="1">f_b_003_f_49_BetaSBelokon(C204)</f>
        <v>0.76210882130649737</v>
      </c>
    </row>
    <row r="206" spans="1:5">
      <c r="A206" s="7" t="s">
        <v>593</v>
      </c>
      <c r="B206" t="s">
        <v>98</v>
      </c>
      <c r="C206" s="145">
        <f ca="1">C207-273.15</f>
        <v>962.17276377421069</v>
      </c>
    </row>
    <row r="207" spans="1:5">
      <c r="B207" t="s">
        <v>587</v>
      </c>
      <c r="C207" s="116">
        <f ca="1">C205*(C68-C203)</f>
        <v>1235.3227637742107</v>
      </c>
    </row>
    <row r="208" spans="1:5" ht="30">
      <c r="A208" s="7" t="s">
        <v>588</v>
      </c>
      <c r="B208" t="s">
        <v>125</v>
      </c>
      <c r="C208" s="116">
        <f ca="1">C206-C71</f>
        <v>29.710239628607269</v>
      </c>
      <c r="D208" s="22">
        <v>50</v>
      </c>
    </row>
    <row r="209" spans="1:4" s="66" customFormat="1">
      <c r="A209" s="120"/>
      <c r="C209" s="99"/>
    </row>
    <row r="210" spans="1:4" s="66" customFormat="1">
      <c r="A210" s="153" t="s">
        <v>1124</v>
      </c>
      <c r="C210" s="99"/>
    </row>
    <row r="211" spans="1:4" s="66" customFormat="1">
      <c r="A211" s="120"/>
      <c r="C211" s="99"/>
    </row>
    <row r="212" spans="1:4" s="66" customFormat="1" ht="30">
      <c r="A212" s="120" t="s">
        <v>1125</v>
      </c>
      <c r="C212" s="99">
        <f ca="1">(C126+C132*C128)*C124*C123</f>
        <v>0.20031698865806064</v>
      </c>
    </row>
    <row r="213" spans="1:4" s="66" customFormat="1">
      <c r="A213" s="120" t="s">
        <v>1126</v>
      </c>
      <c r="C213" s="99">
        <f ca="1">f_b_003_f_74_BuEf(C212)</f>
        <v>0.31274241132158753</v>
      </c>
    </row>
    <row r="214" spans="1:4" s="66" customFormat="1">
      <c r="A214" s="120"/>
      <c r="C214" s="99"/>
    </row>
    <row r="215" spans="1:4" s="66" customFormat="1">
      <c r="A215" s="120" t="s">
        <v>1130</v>
      </c>
      <c r="C215" s="99">
        <v>0</v>
      </c>
    </row>
    <row r="216" spans="1:4" s="66" customFormat="1">
      <c r="A216" s="120" t="s">
        <v>1129</v>
      </c>
      <c r="C216" s="99">
        <v>0</v>
      </c>
    </row>
    <row r="217" spans="1:4" s="66" customFormat="1" ht="30">
      <c r="A217" s="120" t="s">
        <v>1128</v>
      </c>
      <c r="C217" s="99">
        <f>(1+C216)*Fuel!C107/(Fuel!B94+Fuel!B91)</f>
        <v>1.4632730527517277</v>
      </c>
    </row>
    <row r="218" spans="1:4" s="66" customFormat="1">
      <c r="A218" s="120" t="s">
        <v>1131</v>
      </c>
      <c r="C218" s="111">
        <v>0.36</v>
      </c>
    </row>
    <row r="219" spans="1:4" s="66" customFormat="1">
      <c r="A219" s="120" t="s">
        <v>1127</v>
      </c>
      <c r="C219" s="111">
        <f>C218*(1-0.4*C215)*(C217^(1/3))</f>
        <v>0.40870594883403738</v>
      </c>
    </row>
    <row r="220" spans="1:4" s="66" customFormat="1">
      <c r="A220" s="120"/>
      <c r="C220" s="99"/>
    </row>
    <row r="221" spans="1:4" s="66" customFormat="1">
      <c r="A221" s="120" t="s">
        <v>1135</v>
      </c>
      <c r="C221" s="111">
        <f>C114</f>
        <v>0.91747590792408362</v>
      </c>
    </row>
    <row r="222" spans="1:4" s="66" customFormat="1">
      <c r="A222" s="120"/>
      <c r="C222" s="99"/>
    </row>
    <row r="223" spans="1:4" s="66" customFormat="1" ht="45">
      <c r="A223" s="120" t="s">
        <v>1136</v>
      </c>
      <c r="C223" s="111">
        <v>0.65</v>
      </c>
    </row>
    <row r="224" spans="1:4" s="66" customFormat="1">
      <c r="A224" s="120" t="s">
        <v>1137</v>
      </c>
      <c r="C224" s="111">
        <f>0.8*0.65</f>
        <v>0.52</v>
      </c>
      <c r="D224" s="66">
        <v>0.5</v>
      </c>
    </row>
    <row r="225" spans="1:4" s="66" customFormat="1">
      <c r="A225" s="120"/>
      <c r="C225" s="99"/>
    </row>
    <row r="226" spans="1:4" s="66" customFormat="1">
      <c r="A226" s="120" t="s">
        <v>1132</v>
      </c>
      <c r="C226" s="111">
        <f>C221*C223</f>
        <v>0.59635934015065439</v>
      </c>
    </row>
    <row r="227" spans="1:4" s="66" customFormat="1">
      <c r="A227" s="120" t="s">
        <v>1133</v>
      </c>
      <c r="C227" s="99">
        <f>C224*1</f>
        <v>0.52</v>
      </c>
    </row>
    <row r="228" spans="1:4" s="66" customFormat="1" ht="30">
      <c r="A228" s="120" t="s">
        <v>1134</v>
      </c>
      <c r="C228" s="99">
        <v>0</v>
      </c>
    </row>
    <row r="229" spans="1:4" s="66" customFormat="1">
      <c r="A229" s="120"/>
      <c r="C229" s="99"/>
    </row>
    <row r="230" spans="1:4" s="66" customFormat="1">
      <c r="A230" s="120" t="s">
        <v>1138</v>
      </c>
      <c r="B230" s="66" t="s">
        <v>352</v>
      </c>
      <c r="C230" s="99">
        <v>17.600000000000001</v>
      </c>
    </row>
    <row r="231" spans="1:4" s="66" customFormat="1">
      <c r="A231" s="120" t="s">
        <v>1139</v>
      </c>
      <c r="B231" s="66" t="s">
        <v>352</v>
      </c>
      <c r="C231" s="99">
        <v>5.3</v>
      </c>
    </row>
    <row r="232" spans="1:4" s="66" customFormat="1">
      <c r="A232" s="120" t="s">
        <v>1140</v>
      </c>
      <c r="B232" s="66" t="s">
        <v>352</v>
      </c>
      <c r="C232" s="99">
        <v>0.8</v>
      </c>
    </row>
    <row r="233" spans="1:4" s="66" customFormat="1">
      <c r="A233" s="120"/>
      <c r="C233" s="99"/>
    </row>
    <row r="234" spans="1:4" s="66" customFormat="1" ht="30">
      <c r="A234" s="120" t="s">
        <v>1141</v>
      </c>
      <c r="C234" s="111">
        <f>(C226*C230+C227*C232+C228*C231)/(C230+C231+C232)</f>
        <v>0.46041875049162523</v>
      </c>
    </row>
    <row r="235" spans="1:4" s="66" customFormat="1">
      <c r="A235" s="120"/>
      <c r="C235" s="99"/>
    </row>
    <row r="236" spans="1:4" s="66" customFormat="1">
      <c r="A236" s="120" t="s">
        <v>1142</v>
      </c>
      <c r="C236" s="99">
        <f>C234*(C230+C231+C232)</f>
        <v>10.911924386651519</v>
      </c>
    </row>
    <row r="237" spans="1:4" s="66" customFormat="1">
      <c r="A237" s="120"/>
      <c r="C237" s="99"/>
    </row>
    <row r="238" spans="1:4" s="66" customFormat="1">
      <c r="A238" s="120" t="s">
        <v>1143</v>
      </c>
      <c r="C238" s="136">
        <f ca="1">f_b_003_f_36_Bo(C61,C57,C122*1000,C68,C236)</f>
        <v>0.10271830696418796</v>
      </c>
    </row>
    <row r="239" spans="1:4" s="66" customFormat="1">
      <c r="A239" s="120"/>
      <c r="C239" s="99"/>
    </row>
    <row r="240" spans="1:4" s="66" customFormat="1" ht="30">
      <c r="A240" s="7" t="s">
        <v>585</v>
      </c>
      <c r="B240"/>
      <c r="C240" s="132">
        <f ca="1">f_b_003_f_75_TetaT2OtnNTR98(C219,C213,C238)</f>
        <v>0.46954101152620681</v>
      </c>
      <c r="D240"/>
    </row>
    <row r="241" spans="1:4" s="66" customFormat="1">
      <c r="A241" s="7" t="s">
        <v>586</v>
      </c>
      <c r="B241" t="s">
        <v>98</v>
      </c>
      <c r="C241" s="145">
        <f ca="1">C242-273.15</f>
        <v>692.54239315119651</v>
      </c>
    </row>
    <row r="242" spans="1:4" s="66" customFormat="1">
      <c r="A242" s="7"/>
      <c r="B242" t="s">
        <v>587</v>
      </c>
      <c r="C242" s="116">
        <f ca="1">C240*(C67+273.15)</f>
        <v>965.69239315119648</v>
      </c>
      <c r="D242"/>
    </row>
    <row r="243" spans="1:4" s="66" customFormat="1" ht="30">
      <c r="A243" s="7" t="s">
        <v>588</v>
      </c>
      <c r="B243" t="s">
        <v>125</v>
      </c>
      <c r="C243" s="116">
        <f ca="1">C71-C241</f>
        <v>239.92013099440692</v>
      </c>
      <c r="D243" s="22">
        <v>50</v>
      </c>
    </row>
    <row r="244" spans="1:4" s="66" customFormat="1">
      <c r="A244" s="120"/>
      <c r="C244" s="99"/>
    </row>
    <row r="246" spans="1:4" ht="45">
      <c r="A246" s="43" t="s">
        <v>597</v>
      </c>
    </row>
    <row r="248" spans="1:4">
      <c r="A248" s="7" t="s">
        <v>598</v>
      </c>
      <c r="B248" t="s">
        <v>125</v>
      </c>
      <c r="C248" s="116">
        <f ca="1">C71</f>
        <v>932.46252414560342</v>
      </c>
    </row>
    <row r="249" spans="1:4">
      <c r="A249" s="131" t="s">
        <v>599</v>
      </c>
      <c r="B249" s="129" t="s">
        <v>207</v>
      </c>
      <c r="C249" s="116">
        <v>1.3</v>
      </c>
    </row>
    <row r="250" spans="1:4">
      <c r="A250" s="7" t="s">
        <v>240</v>
      </c>
      <c r="B250" t="s">
        <v>96</v>
      </c>
      <c r="C250" s="116">
        <f>C249*Fuel!C107*'Расчет печи 1'!C57</f>
        <v>0.61022271205132861</v>
      </c>
    </row>
    <row r="251" spans="1:4">
      <c r="B251" t="s">
        <v>95</v>
      </c>
      <c r="C251" s="116">
        <f>C250*3600</f>
        <v>2196.801763384783</v>
      </c>
    </row>
    <row r="253" spans="1:4" ht="30">
      <c r="A253" s="17" t="s">
        <v>600</v>
      </c>
    </row>
    <row r="254" spans="1:4">
      <c r="A254" s="17"/>
    </row>
    <row r="255" spans="1:4">
      <c r="A255" s="79" t="s">
        <v>621</v>
      </c>
      <c r="B255" t="s">
        <v>113</v>
      </c>
      <c r="C255" s="133">
        <f>C82</f>
        <v>89</v>
      </c>
    </row>
    <row r="256" spans="1:4">
      <c r="A256" s="79" t="s">
        <v>622</v>
      </c>
      <c r="B256" t="s">
        <v>113</v>
      </c>
      <c r="C256" s="133">
        <f>C84</f>
        <v>160</v>
      </c>
    </row>
    <row r="257" spans="1:4">
      <c r="A257" s="79" t="s">
        <v>623</v>
      </c>
      <c r="B257" t="s">
        <v>152</v>
      </c>
      <c r="C257" s="132">
        <f>C92</f>
        <v>1.5278874536821951</v>
      </c>
    </row>
    <row r="258" spans="1:4">
      <c r="A258" s="78"/>
    </row>
    <row r="259" spans="1:4" ht="30">
      <c r="A259" s="7" t="s">
        <v>601</v>
      </c>
      <c r="B259" s="129"/>
      <c r="C259" s="102">
        <v>0.46</v>
      </c>
      <c r="D259" s="41">
        <f>f_b_003_f_50_Phi1CilindrFH(C255,C256,C257*1000)</f>
        <v>0.47866909904189642</v>
      </c>
    </row>
    <row r="260" spans="1:4" ht="30">
      <c r="A260" s="7" t="s">
        <v>606</v>
      </c>
      <c r="B260" s="129"/>
      <c r="C260" s="102">
        <v>0.6</v>
      </c>
      <c r="D260" s="20">
        <v>0.6</v>
      </c>
    </row>
    <row r="261" spans="1:4" ht="30">
      <c r="A261" s="7" t="s">
        <v>607</v>
      </c>
      <c r="B261" s="129"/>
      <c r="C261" s="102">
        <v>0.72</v>
      </c>
      <c r="D261" s="20">
        <v>0.72</v>
      </c>
    </row>
    <row r="262" spans="1:4">
      <c r="A262" s="7" t="s">
        <v>608</v>
      </c>
      <c r="B262" s="129"/>
      <c r="C262" s="130">
        <f>C259*C260*C261</f>
        <v>0.19872000000000001</v>
      </c>
    </row>
    <row r="263" spans="1:4">
      <c r="A263" s="7" t="s">
        <v>604</v>
      </c>
      <c r="B263" s="129" t="s">
        <v>352</v>
      </c>
      <c r="C263" s="116">
        <f>C87*C82/1000*C86/1000</f>
        <v>9.3450000000000006</v>
      </c>
    </row>
    <row r="264" spans="1:4">
      <c r="A264" s="7" t="s">
        <v>605</v>
      </c>
      <c r="B264" s="129" t="s">
        <v>352</v>
      </c>
      <c r="C264" s="130">
        <f>PI()*C92*C86/1000</f>
        <v>16.8</v>
      </c>
    </row>
    <row r="265" spans="1:4" ht="30">
      <c r="A265" s="7" t="s">
        <v>603</v>
      </c>
      <c r="B265" s="129"/>
      <c r="C265" s="132">
        <f>C262*C263/C264</f>
        <v>0.11053800000000001</v>
      </c>
    </row>
    <row r="266" spans="1:4" ht="30">
      <c r="A266" s="7" t="s">
        <v>602</v>
      </c>
      <c r="B266" s="129"/>
      <c r="C266" s="128">
        <f>1/C265</f>
        <v>9.0466626861350843</v>
      </c>
    </row>
    <row r="267" spans="1:4">
      <c r="B267" s="129"/>
    </row>
    <row r="268" spans="1:4">
      <c r="A268" s="62" t="s">
        <v>609</v>
      </c>
      <c r="B268" s="129"/>
      <c r="D268" s="138"/>
    </row>
    <row r="269" spans="1:4">
      <c r="A269" s="7" t="s">
        <v>610</v>
      </c>
      <c r="B269" s="129" t="s">
        <v>125</v>
      </c>
      <c r="C269" s="73">
        <v>450</v>
      </c>
    </row>
    <row r="270" spans="1:4">
      <c r="A270" s="7" t="s">
        <v>611</v>
      </c>
      <c r="B270" s="129" t="s">
        <v>125</v>
      </c>
      <c r="C270" s="102">
        <v>275</v>
      </c>
    </row>
    <row r="271" spans="1:4">
      <c r="A271" s="7" t="s">
        <v>612</v>
      </c>
      <c r="B271" s="129" t="s">
        <v>125</v>
      </c>
      <c r="C271" s="102">
        <v>347</v>
      </c>
    </row>
    <row r="272" spans="1:4" ht="30">
      <c r="A272" s="7" t="s">
        <v>613</v>
      </c>
      <c r="B272" s="129" t="s">
        <v>614</v>
      </c>
      <c r="C272" s="102">
        <v>1600</v>
      </c>
    </row>
    <row r="273" spans="1:4" ht="30">
      <c r="A273" s="7" t="s">
        <v>619</v>
      </c>
      <c r="B273" s="129" t="s">
        <v>615</v>
      </c>
      <c r="C273" s="130">
        <f>C259*C260*(C269-C270)*C272</f>
        <v>77280</v>
      </c>
    </row>
    <row r="274" spans="1:4" ht="30">
      <c r="A274" s="7" t="s">
        <v>620</v>
      </c>
      <c r="B274" s="129" t="s">
        <v>615</v>
      </c>
      <c r="C274" s="130">
        <f>C259*C260*(C269-C271)*C272</f>
        <v>45484.800000000003</v>
      </c>
    </row>
    <row r="275" spans="1:4">
      <c r="A275" s="7" t="s">
        <v>616</v>
      </c>
      <c r="B275" s="129"/>
      <c r="C275" s="128">
        <f>1*(C273+C274)/(2*C274)</f>
        <v>1.349514563106796</v>
      </c>
    </row>
    <row r="276" spans="1:4" ht="30">
      <c r="A276" s="7" t="s">
        <v>617</v>
      </c>
      <c r="B276" s="129" t="s">
        <v>615</v>
      </c>
      <c r="C276" s="102">
        <f>30200*4.1868/3.6</f>
        <v>35122.6</v>
      </c>
    </row>
    <row r="277" spans="1:4" ht="30">
      <c r="A277" s="7" t="s">
        <v>618</v>
      </c>
      <c r="B277" s="129" t="s">
        <v>615</v>
      </c>
      <c r="C277" s="133">
        <f>C276*(1/C259)*(1/C260)*(C275)</f>
        <v>171733.55142816939</v>
      </c>
      <c r="D277" s="156">
        <f>C276*(C259)*(C260)*C275</f>
        <v>13081.975013592233</v>
      </c>
    </row>
    <row r="278" spans="1:4" ht="30">
      <c r="A278" s="7" t="s">
        <v>624</v>
      </c>
      <c r="B278" s="129" t="s">
        <v>615</v>
      </c>
      <c r="C278" s="130">
        <f>D261*0.5*(C273+C274)</f>
        <v>44195.328000000001</v>
      </c>
    </row>
    <row r="279" spans="1:4">
      <c r="B279" s="129"/>
    </row>
    <row r="280" spans="1:4">
      <c r="A280" s="7" t="s">
        <v>625</v>
      </c>
      <c r="B280" s="129" t="s">
        <v>352</v>
      </c>
      <c r="C280" s="116">
        <f ca="1">C276*1000/C76/C56/C278</f>
        <v>20.637426200353758</v>
      </c>
    </row>
    <row r="281" spans="1:4">
      <c r="B281" s="129"/>
    </row>
    <row r="282" spans="1:4" ht="30">
      <c r="A282" s="7" t="s">
        <v>768</v>
      </c>
      <c r="B282" s="129" t="s">
        <v>125</v>
      </c>
      <c r="C282" s="116">
        <f ca="1">C23+C170*C78*1000</f>
        <v>397.9354884839122</v>
      </c>
      <c r="D282" s="22"/>
    </row>
    <row r="283" spans="1:4">
      <c r="B283" s="129"/>
    </row>
    <row r="284" spans="1:4">
      <c r="A284" s="62" t="s">
        <v>626</v>
      </c>
      <c r="B284" s="129"/>
    </row>
    <row r="285" spans="1:4">
      <c r="A285" s="62"/>
      <c r="B285" s="129"/>
    </row>
    <row r="286" spans="1:4">
      <c r="A286" s="62" t="s">
        <v>850</v>
      </c>
      <c r="B286" s="129"/>
    </row>
    <row r="287" spans="1:4">
      <c r="A287" s="62"/>
      <c r="B287" s="129"/>
    </row>
    <row r="288" spans="1:4">
      <c r="A288" s="62" t="s">
        <v>853</v>
      </c>
      <c r="B288" s="129"/>
    </row>
    <row r="289" spans="1:4">
      <c r="A289" s="62"/>
      <c r="B289" s="129"/>
    </row>
    <row r="290" spans="1:4" ht="30">
      <c r="A290" s="7" t="s">
        <v>905</v>
      </c>
      <c r="B290" s="129"/>
      <c r="C290" s="102">
        <v>1</v>
      </c>
    </row>
    <row r="291" spans="1:4">
      <c r="B291" s="129"/>
      <c r="C291" s="134"/>
    </row>
    <row r="292" spans="1:4">
      <c r="A292" s="7" t="s">
        <v>902</v>
      </c>
      <c r="B292" s="129"/>
      <c r="C292" s="102">
        <v>0</v>
      </c>
    </row>
    <row r="293" spans="1:4">
      <c r="A293" s="7" t="s">
        <v>848</v>
      </c>
      <c r="B293" s="129"/>
      <c r="C293" s="102">
        <v>0</v>
      </c>
    </row>
    <row r="294" spans="1:4">
      <c r="B294" s="129"/>
    </row>
    <row r="295" spans="1:4">
      <c r="A295" s="7" t="s">
        <v>515</v>
      </c>
      <c r="B295" s="129" t="s">
        <v>113</v>
      </c>
      <c r="C295" s="102">
        <v>76</v>
      </c>
    </row>
    <row r="296" spans="1:4">
      <c r="A296" s="7" t="s">
        <v>351</v>
      </c>
      <c r="B296" s="129" t="s">
        <v>113</v>
      </c>
      <c r="C296" s="102">
        <v>5</v>
      </c>
    </row>
    <row r="297" spans="1:4" ht="75">
      <c r="A297" s="131" t="s">
        <v>1000</v>
      </c>
      <c r="B297" s="129"/>
      <c r="C297" s="102">
        <v>4</v>
      </c>
    </row>
    <row r="298" spans="1:4">
      <c r="A298" s="7" t="s">
        <v>722</v>
      </c>
      <c r="B298" s="129" t="s">
        <v>113</v>
      </c>
      <c r="C298" s="102">
        <v>0.08</v>
      </c>
    </row>
    <row r="299" spans="1:4">
      <c r="B299" s="129"/>
      <c r="C299" s="134"/>
    </row>
    <row r="300" spans="1:4">
      <c r="A300" s="7" t="s">
        <v>832</v>
      </c>
      <c r="B300" s="129" t="s">
        <v>113</v>
      </c>
      <c r="C300" s="102">
        <v>1500</v>
      </c>
    </row>
    <row r="301" spans="1:4">
      <c r="B301" s="129"/>
      <c r="C301" s="134"/>
    </row>
    <row r="302" spans="1:4">
      <c r="A302" s="7" t="s">
        <v>628</v>
      </c>
      <c r="B302" s="129" t="s">
        <v>113</v>
      </c>
      <c r="C302" s="102">
        <v>160</v>
      </c>
      <c r="D302" s="176"/>
    </row>
    <row r="303" spans="1:4">
      <c r="A303" s="7" t="s">
        <v>630</v>
      </c>
      <c r="B303" s="129" t="s">
        <v>113</v>
      </c>
      <c r="C303" s="102">
        <v>139</v>
      </c>
      <c r="D303" s="174">
        <f>SQRT(C302*C302/1000/1000-0.25*C302*C302/1000/1000)*1000</f>
        <v>138.5640646055102</v>
      </c>
    </row>
    <row r="304" spans="1:4">
      <c r="B304" s="129"/>
    </row>
    <row r="305" spans="1:4">
      <c r="A305" s="7" t="s">
        <v>833</v>
      </c>
      <c r="B305" s="129" t="s">
        <v>152</v>
      </c>
      <c r="C305" s="130">
        <f>(C312*C311-1)*C302/1000</f>
        <v>0.48</v>
      </c>
    </row>
    <row r="306" spans="1:4">
      <c r="A306" s="7" t="s">
        <v>834</v>
      </c>
      <c r="B306" s="129" t="s">
        <v>152</v>
      </c>
      <c r="C306" s="130">
        <f>(C313-1)*C303/1000</f>
        <v>0.27800000000000002</v>
      </c>
    </row>
    <row r="307" spans="1:4" s="66" customFormat="1">
      <c r="A307" s="120"/>
      <c r="B307" s="150"/>
      <c r="C307" s="134"/>
    </row>
    <row r="308" spans="1:4" s="66" customFormat="1" ht="30">
      <c r="A308" s="120" t="s">
        <v>845</v>
      </c>
      <c r="B308" s="150" t="s">
        <v>352</v>
      </c>
      <c r="C308" s="128">
        <f>f_b_003_f_58_FPCGlTube(0,0,C312*C311*C302/1000,C300/1000,C295/1000,C300/1000,C311*C312,C302/1000,C303/1000)</f>
        <v>0.504</v>
      </c>
      <c r="D308" s="179">
        <f>C311*C312*C300/1000*(C302-C295)/1000</f>
        <v>0.504</v>
      </c>
    </row>
    <row r="309" spans="1:4">
      <c r="A309" s="7" t="s">
        <v>846</v>
      </c>
      <c r="B309" s="129" t="s">
        <v>352</v>
      </c>
      <c r="C309" s="155">
        <f>0.25*PI()*C311*(C295-2*C296)/1000*(C295-2*C296)/1000</f>
        <v>3.4211943997592849E-3</v>
      </c>
    </row>
    <row r="310" spans="1:4">
      <c r="C310" s="134"/>
    </row>
    <row r="311" spans="1:4">
      <c r="A311" s="7" t="s">
        <v>112</v>
      </c>
      <c r="C311" s="102">
        <v>1</v>
      </c>
    </row>
    <row r="312" spans="1:4" ht="30">
      <c r="A312" s="7" t="s">
        <v>835</v>
      </c>
      <c r="C312" s="102">
        <v>4</v>
      </c>
    </row>
    <row r="313" spans="1:4" ht="30">
      <c r="A313" s="7" t="s">
        <v>836</v>
      </c>
      <c r="C313" s="102">
        <v>3</v>
      </c>
    </row>
    <row r="314" spans="1:4">
      <c r="A314" s="7" t="s">
        <v>841</v>
      </c>
      <c r="C314" s="130">
        <f>C313*C312*C311</f>
        <v>12</v>
      </c>
    </row>
    <row r="315" spans="1:4">
      <c r="C315" s="134"/>
    </row>
    <row r="316" spans="1:4" ht="45">
      <c r="A316" s="7" t="s">
        <v>843</v>
      </c>
      <c r="B316" t="s">
        <v>352</v>
      </c>
      <c r="C316" s="116">
        <f>PI()*C300/1000*C295/1000*C314</f>
        <v>4.297698750110837</v>
      </c>
    </row>
    <row r="318" spans="1:4">
      <c r="A318" s="17" t="s">
        <v>854</v>
      </c>
    </row>
    <row r="320" spans="1:4" ht="30">
      <c r="A320" s="79" t="s">
        <v>858</v>
      </c>
      <c r="B320" s="129" t="s">
        <v>125</v>
      </c>
      <c r="C320" s="116">
        <f ca="1">C71</f>
        <v>932.46252414560342</v>
      </c>
    </row>
    <row r="321" spans="1:8" ht="30">
      <c r="A321" s="79" t="s">
        <v>859</v>
      </c>
      <c r="B321" s="129" t="s">
        <v>210</v>
      </c>
      <c r="C321" s="116">
        <f ca="1">f_b_000_Interpolate(C320,Fuel!A159:A183,Fuel!D159:D183)</f>
        <v>20796.274957303307</v>
      </c>
    </row>
    <row r="322" spans="1:8" ht="30">
      <c r="A322" s="79" t="s">
        <v>906</v>
      </c>
      <c r="B322" s="129" t="s">
        <v>125</v>
      </c>
      <c r="C322" s="101">
        <v>730</v>
      </c>
      <c r="F322" s="247" t="s">
        <v>910</v>
      </c>
      <c r="G322" s="247"/>
      <c r="H322" s="247"/>
    </row>
    <row r="323" spans="1:8" ht="30">
      <c r="A323" s="79" t="s">
        <v>860</v>
      </c>
      <c r="B323" s="129" t="s">
        <v>125</v>
      </c>
      <c r="C323" s="116">
        <f>IF(C290=0,D323,C322)</f>
        <v>730</v>
      </c>
      <c r="D323" s="44">
        <f ca="1">C381</f>
        <v>719.05843484970171</v>
      </c>
      <c r="E323" s="66"/>
      <c r="F323" s="186"/>
      <c r="G323" s="186" t="s">
        <v>915</v>
      </c>
      <c r="H323" s="186" t="s">
        <v>916</v>
      </c>
    </row>
    <row r="324" spans="1:8" ht="30">
      <c r="A324" s="79" t="s">
        <v>861</v>
      </c>
      <c r="B324" s="129" t="s">
        <v>210</v>
      </c>
      <c r="C324" s="116">
        <f>f_b_000_Interpolate(C323,Fuel!A159:A183,Fuel!D159:D183)</f>
        <v>15902.199063556205</v>
      </c>
      <c r="F324" s="186" t="s">
        <v>485</v>
      </c>
      <c r="G324" s="185">
        <v>660</v>
      </c>
      <c r="H324" s="185">
        <v>730</v>
      </c>
    </row>
    <row r="325" spans="1:8">
      <c r="A325" s="78"/>
      <c r="B325" s="129"/>
      <c r="F325" s="186" t="s">
        <v>912</v>
      </c>
      <c r="G325" s="185">
        <v>0.21</v>
      </c>
      <c r="H325" s="185">
        <v>0.16</v>
      </c>
    </row>
    <row r="326" spans="1:8" ht="30">
      <c r="A326" s="79" t="s">
        <v>862</v>
      </c>
      <c r="B326" s="129" t="s">
        <v>210</v>
      </c>
      <c r="C326" s="116">
        <f ca="1">C61*(C321-C324+C16*C47)</f>
        <v>4804.7038804035446</v>
      </c>
      <c r="F326" s="186" t="s">
        <v>911</v>
      </c>
      <c r="G326" s="185">
        <v>0.14000000000000001</v>
      </c>
      <c r="H326" s="185">
        <v>0.16</v>
      </c>
    </row>
    <row r="327" spans="1:8">
      <c r="A327" s="78"/>
      <c r="B327" s="129" t="s">
        <v>213</v>
      </c>
      <c r="C327" s="143">
        <f ca="1">C326*C57/1000</f>
        <v>0.15284811189335509</v>
      </c>
      <c r="D327" s="200">
        <f ca="1">C377</f>
        <v>0.16095531984967848</v>
      </c>
      <c r="F327" s="186" t="s">
        <v>913</v>
      </c>
      <c r="G327" s="248">
        <f>f_b_003_f_64_FindRootOnLineX(G324,H324,G325,H325,G326,H326)</f>
        <v>729.99999999999989</v>
      </c>
      <c r="H327" s="249"/>
    </row>
    <row r="328" spans="1:8">
      <c r="A328" s="79" t="s">
        <v>868</v>
      </c>
      <c r="B328" s="129" t="s">
        <v>213</v>
      </c>
      <c r="C328" s="141">
        <f ca="1">C78*C97*C98/1000</f>
        <v>1.5564738760348683E-2</v>
      </c>
      <c r="D328" s="177"/>
      <c r="F328" s="186" t="s">
        <v>914</v>
      </c>
      <c r="G328" s="250">
        <f>f_b_003_f_65_FindRootOnLineY(G324,H324,G325,H325,G326,H326)</f>
        <v>0.16000000000000009</v>
      </c>
      <c r="H328" s="251"/>
    </row>
    <row r="329" spans="1:8">
      <c r="A329" s="79" t="s">
        <v>869</v>
      </c>
      <c r="B329" s="129" t="s">
        <v>213</v>
      </c>
      <c r="C329" s="141">
        <f ca="1">C327+C328</f>
        <v>0.16841285065370379</v>
      </c>
      <c r="D329" s="177"/>
    </row>
    <row r="330" spans="1:8">
      <c r="A330" s="78"/>
      <c r="B330" s="129"/>
      <c r="C330" s="99"/>
      <c r="D330" s="177"/>
    </row>
    <row r="331" spans="1:8">
      <c r="A331" s="79" t="s">
        <v>863</v>
      </c>
      <c r="B331" s="129" t="s">
        <v>125</v>
      </c>
      <c r="C331" s="116">
        <f ca="1">C475</f>
        <v>263.41919338438186</v>
      </c>
      <c r="D331" s="105">
        <f ca="1">f_b_000_Interpolate2D(C22,D332,Stream!C85:E85,Stream!C107:Z109,Stream!C86:Z88)</f>
        <v>253.7760970469927</v>
      </c>
    </row>
    <row r="332" spans="1:8">
      <c r="A332" s="79" t="s">
        <v>864</v>
      </c>
      <c r="B332" s="129" t="s">
        <v>856</v>
      </c>
      <c r="C332" s="116">
        <f ca="1">C474</f>
        <v>-1470.335626441527</v>
      </c>
      <c r="D332" s="105">
        <f ca="1">D334-C329*1000/C31</f>
        <v>-1474.0790719490801</v>
      </c>
    </row>
    <row r="333" spans="1:8">
      <c r="A333" s="79" t="s">
        <v>865</v>
      </c>
      <c r="B333" s="129" t="s">
        <v>125</v>
      </c>
      <c r="C333" s="116">
        <f ca="1">f_b_000_Interpolate2D(C19,C334,Stream!C85:E85,Stream!C107:Z109,Stream!C86:Z88)</f>
        <v>283.56948206167192</v>
      </c>
      <c r="D333" s="105">
        <f ca="1">f_b_000_Interpolate2D(C22,D334,Stream!C85:E85,Stream!C107:Z109,Stream!C86:Z88)</f>
        <v>273.70441499404018</v>
      </c>
    </row>
    <row r="334" spans="1:8">
      <c r="A334" s="79" t="s">
        <v>866</v>
      </c>
      <c r="B334" s="129" t="s">
        <v>856</v>
      </c>
      <c r="C334" s="116">
        <f ca="1">C332+C329*1000/C31</f>
        <v>-1407.8318880545853</v>
      </c>
      <c r="D334" s="105">
        <f ca="1">C24-C75*1000/C31</f>
        <v>-1411.5753335621384</v>
      </c>
    </row>
    <row r="335" spans="1:8">
      <c r="A335" s="78"/>
      <c r="B335" s="129"/>
      <c r="C335" s="99"/>
      <c r="D335" s="177"/>
    </row>
    <row r="336" spans="1:8">
      <c r="A336" s="79" t="s">
        <v>867</v>
      </c>
      <c r="B336" s="129" t="s">
        <v>213</v>
      </c>
      <c r="C336" s="99">
        <f ca="1">(C334-C332)*C31/1000</f>
        <v>0.16841285065370398</v>
      </c>
      <c r="D336" s="177"/>
    </row>
    <row r="337" spans="1:6">
      <c r="A337" s="78"/>
      <c r="B337" s="129"/>
      <c r="C337" s="99"/>
      <c r="D337" s="177"/>
    </row>
    <row r="338" spans="1:6">
      <c r="A338" s="43" t="s">
        <v>831</v>
      </c>
      <c r="D338" s="129"/>
      <c r="E338" s="129"/>
      <c r="F338" s="129"/>
    </row>
    <row r="339" spans="1:6">
      <c r="A339" s="98" t="s">
        <v>847</v>
      </c>
      <c r="B339" t="s">
        <v>508</v>
      </c>
      <c r="C339" s="116">
        <f ca="1">C57*Fuel!D107*(0.5*(C320+C323)+273.15)/273.15</f>
        <v>1.8978541767153416</v>
      </c>
      <c r="D339" s="129"/>
      <c r="E339" s="129"/>
      <c r="F339" s="129"/>
    </row>
    <row r="340" spans="1:6">
      <c r="A340" s="157" t="s">
        <v>707</v>
      </c>
      <c r="B340" s="129" t="s">
        <v>207</v>
      </c>
      <c r="C340" s="132">
        <f ca="1">1.3*273.15/(0.5*(C320+C323)+273.15)</f>
        <v>0.32153298158420929</v>
      </c>
      <c r="D340" s="129"/>
      <c r="E340" s="129"/>
      <c r="F340" s="129"/>
    </row>
    <row r="341" spans="1:6">
      <c r="A341" s="157" t="s">
        <v>708</v>
      </c>
      <c r="B341" s="129" t="s">
        <v>721</v>
      </c>
      <c r="C341" s="132">
        <f ca="1">f_b_004_f_29_LambdaProductCombation(Fuel!D104,0.5*(C320+C323))</f>
        <v>0.10204807151191524</v>
      </c>
      <c r="D341" s="150"/>
      <c r="E341" s="150"/>
      <c r="F341" s="150"/>
    </row>
    <row r="342" spans="1:6" ht="30">
      <c r="A342" s="157" t="s">
        <v>709</v>
      </c>
      <c r="B342" s="129" t="s">
        <v>710</v>
      </c>
      <c r="C342" s="175">
        <f ca="1">f_b_004_f_25_NuProductCombation(Fuel!D104,0.5*(C320+C323))</f>
        <v>1.3774261337950799E-4</v>
      </c>
      <c r="D342" s="150"/>
      <c r="E342" s="159"/>
      <c r="F342" s="150"/>
    </row>
    <row r="343" spans="1:6">
      <c r="A343" s="137" t="s">
        <v>711</v>
      </c>
      <c r="B343" s="129"/>
      <c r="C343" s="133">
        <f ca="1">f_b_004_f_20_Reynolds(C346,C295/1000,C342)</f>
        <v>2077.6748237844931</v>
      </c>
      <c r="D343" s="150"/>
      <c r="E343" s="150"/>
      <c r="F343" s="150"/>
    </row>
    <row r="344" spans="1:6">
      <c r="A344" s="137" t="s">
        <v>712</v>
      </c>
      <c r="B344" s="129"/>
      <c r="C344" s="132">
        <f ca="1">f_b_004_f_27_PrProductCombation(Fuel!D104,0.5*(C320+C323))</f>
        <v>0.65143332990991909</v>
      </c>
      <c r="D344" s="150"/>
      <c r="E344" s="159"/>
      <c r="F344" s="150"/>
    </row>
    <row r="345" spans="1:6">
      <c r="A345" s="137" t="s">
        <v>713</v>
      </c>
      <c r="B345" s="129"/>
      <c r="C345" s="133">
        <f ca="1">C343*C344</f>
        <v>1353.4666289279367</v>
      </c>
      <c r="D345" s="150"/>
      <c r="E345" s="163"/>
      <c r="F345" s="150"/>
    </row>
    <row r="346" spans="1:6">
      <c r="A346" s="157" t="s">
        <v>706</v>
      </c>
      <c r="B346" s="129" t="s">
        <v>249</v>
      </c>
      <c r="C346" s="116">
        <f ca="1">C339/C308</f>
        <v>3.7655836839590111</v>
      </c>
      <c r="D346" s="150"/>
      <c r="E346" s="169"/>
      <c r="F346" s="150"/>
    </row>
    <row r="347" spans="1:6">
      <c r="A347" s="137" t="s">
        <v>876</v>
      </c>
      <c r="B347" s="142" t="s">
        <v>614</v>
      </c>
      <c r="C347" s="141">
        <f ca="1">f_b_003_f_59_AlfaK1(0,C343,C344,C295/1000,C302/1000,C303/1000,C313,C341)</f>
        <v>31.042472082174069</v>
      </c>
      <c r="D347" s="154">
        <f ca="1">f_b_004_f_16_Alfa01(C343,C344,C295/1000,C302/1000,C303/1000,C313,C341)</f>
        <v>31.042472082174069</v>
      </c>
      <c r="E347" s="150"/>
      <c r="F347" s="150"/>
    </row>
    <row r="348" spans="1:6">
      <c r="A348" s="131" t="s">
        <v>533</v>
      </c>
      <c r="B348" s="129" t="s">
        <v>152</v>
      </c>
      <c r="C348" s="180">
        <f>f_b_003_f_61_sEfConvBundle(C295/1000,C302/1000,C303/1000)</f>
        <v>0.26693108851867137</v>
      </c>
      <c r="D348" s="150"/>
      <c r="E348" s="150"/>
      <c r="F348" s="150"/>
    </row>
    <row r="349" spans="1:6" ht="30">
      <c r="A349" s="131" t="s">
        <v>878</v>
      </c>
      <c r="B349" s="129" t="s">
        <v>541</v>
      </c>
      <c r="C349" s="102">
        <v>1</v>
      </c>
      <c r="D349" s="150"/>
      <c r="E349" s="150"/>
      <c r="F349" s="150"/>
    </row>
    <row r="350" spans="1:6">
      <c r="A350" s="131" t="s">
        <v>543</v>
      </c>
      <c r="B350" s="129" t="s">
        <v>541</v>
      </c>
      <c r="C350" s="132">
        <f>C349*Fuel!D116</f>
        <v>0.24953073885047433</v>
      </c>
      <c r="D350" s="150"/>
      <c r="E350" s="150"/>
      <c r="F350" s="150"/>
    </row>
    <row r="351" spans="1:6">
      <c r="A351" s="131" t="s">
        <v>879</v>
      </c>
      <c r="B351" s="129" t="s">
        <v>544</v>
      </c>
      <c r="C351" s="132">
        <f ca="1">f_b_003_f_32_kgrp(0.5*(C320+C323),Fuel!D104,Fuel!D116,C349,C348)</f>
        <v>2.3282082918931217</v>
      </c>
      <c r="D351" s="150"/>
      <c r="E351" s="150"/>
      <c r="F351" s="150"/>
    </row>
    <row r="352" spans="1:6" ht="30">
      <c r="A352" s="131" t="s">
        <v>545</v>
      </c>
      <c r="B352" s="129"/>
      <c r="C352" s="128">
        <f>Fuel!B42</f>
        <v>3.1194500000000001</v>
      </c>
      <c r="D352" s="150"/>
      <c r="E352" s="150"/>
      <c r="F352" s="150"/>
    </row>
    <row r="353" spans="1:6" ht="30">
      <c r="A353" s="131" t="s">
        <v>548</v>
      </c>
      <c r="B353" s="129" t="s">
        <v>544</v>
      </c>
      <c r="C353" s="132">
        <f ca="1">f_b_003_f_34_kAsh(0,0.5*(C320+C323),Fuel!D103,C352)</f>
        <v>9.4856985714163261E-2</v>
      </c>
      <c r="D353" s="150"/>
      <c r="E353" s="150"/>
      <c r="F353" s="150"/>
    </row>
    <row r="354" spans="1:6" ht="30">
      <c r="A354" s="131" t="s">
        <v>551</v>
      </c>
      <c r="B354" s="129" t="s">
        <v>544</v>
      </c>
      <c r="C354" s="132">
        <f ca="1">C351+C353</f>
        <v>2.423065277607285</v>
      </c>
      <c r="D354" s="150"/>
      <c r="E354" s="150"/>
      <c r="F354" s="150"/>
    </row>
    <row r="355" spans="1:6">
      <c r="A355" s="7" t="s">
        <v>550</v>
      </c>
      <c r="C355" s="132">
        <f ca="1">f_b_003_f_35_aGas(C351+C353,C349,C348)</f>
        <v>0.47627652431069667</v>
      </c>
      <c r="D355" s="150"/>
      <c r="E355" s="150"/>
      <c r="F355" s="150"/>
    </row>
    <row r="356" spans="1:6">
      <c r="A356" s="7" t="s">
        <v>552</v>
      </c>
      <c r="C356" s="132">
        <f ca="1">f_b_003_f_35_aGas(C351,C349,C348)</f>
        <v>0.46284639022365404</v>
      </c>
      <c r="D356" s="150"/>
      <c r="E356" s="150"/>
      <c r="F356" s="150"/>
    </row>
    <row r="357" spans="1:6" ht="30">
      <c r="A357" s="7" t="s">
        <v>553</v>
      </c>
      <c r="C357" s="102">
        <v>0.1</v>
      </c>
      <c r="D357" s="150"/>
      <c r="E357" s="150"/>
      <c r="F357" s="150"/>
    </row>
    <row r="358" spans="1:6" s="81" customFormat="1">
      <c r="A358" s="98" t="s">
        <v>880</v>
      </c>
      <c r="C358" s="181">
        <f ca="1">C357*C355+(1-C357)*C356</f>
        <v>0.46418940363235828</v>
      </c>
      <c r="D358" s="182"/>
      <c r="E358" s="182"/>
      <c r="F358" s="182"/>
    </row>
    <row r="359" spans="1:6" s="81" customFormat="1">
      <c r="A359" s="157" t="s">
        <v>881</v>
      </c>
      <c r="B359" s="170" t="s">
        <v>125</v>
      </c>
      <c r="C359" s="180">
        <f ca="1">f_b_003_f_62_TetaZagrSt(0.5*(C331+C333),C374,C362,C372,C328*1000,C327*1000,1,C316)</f>
        <v>273.63092542908873</v>
      </c>
      <c r="D359" s="183"/>
      <c r="E359" s="150" t="s">
        <v>882</v>
      </c>
      <c r="F359" s="182"/>
    </row>
    <row r="360" spans="1:6">
      <c r="A360" s="137" t="s">
        <v>875</v>
      </c>
      <c r="B360" s="142" t="s">
        <v>614</v>
      </c>
      <c r="C360" s="141">
        <f ca="1">f_b_003_f_60_AlfaL(C358,0.5*(C320+C323)+273.15,C359+273.15)</f>
        <v>58.163650727881951</v>
      </c>
      <c r="D360" s="150"/>
      <c r="E360" s="150"/>
      <c r="F360" s="150"/>
    </row>
    <row r="361" spans="1:6">
      <c r="A361" s="157" t="s">
        <v>874</v>
      </c>
      <c r="B361" s="142"/>
      <c r="C361" s="103">
        <v>1</v>
      </c>
      <c r="D361" s="150"/>
      <c r="E361" s="150"/>
      <c r="F361" s="150"/>
    </row>
    <row r="362" spans="1:6" ht="30">
      <c r="A362" s="137" t="s">
        <v>877</v>
      </c>
      <c r="B362" s="142" t="s">
        <v>614</v>
      </c>
      <c r="C362" s="141">
        <f ca="1">C361*(C347+C360)</f>
        <v>89.206122810056016</v>
      </c>
      <c r="D362" s="149">
        <v>108</v>
      </c>
      <c r="E362" s="150" t="s">
        <v>882</v>
      </c>
      <c r="F362" s="150"/>
    </row>
    <row r="363" spans="1:6">
      <c r="A363" s="137"/>
      <c r="B363" s="129"/>
      <c r="D363" s="129"/>
      <c r="E363" s="129"/>
      <c r="F363" s="129"/>
    </row>
    <row r="364" spans="1:6">
      <c r="A364" s="137" t="s">
        <v>830</v>
      </c>
      <c r="B364" s="129"/>
      <c r="D364" s="129"/>
      <c r="E364" s="129"/>
      <c r="F364" s="129"/>
    </row>
    <row r="365" spans="1:6">
      <c r="A365" s="131" t="s">
        <v>756</v>
      </c>
      <c r="B365" s="129" t="s">
        <v>207</v>
      </c>
      <c r="C365" s="116">
        <f>0.5*(Stream!C6+Stream!Z6)</f>
        <v>671.49</v>
      </c>
      <c r="D365" s="129" t="s">
        <v>883</v>
      </c>
      <c r="E365" s="129"/>
      <c r="F365" s="129"/>
    </row>
    <row r="366" spans="1:6">
      <c r="A366" s="131" t="s">
        <v>757</v>
      </c>
      <c r="B366" s="129" t="s">
        <v>721</v>
      </c>
      <c r="C366" s="132">
        <f>Stream!C9</f>
        <v>9.5399999999999999E-2</v>
      </c>
      <c r="D366" s="129"/>
      <c r="E366" s="129"/>
      <c r="F366" s="129"/>
    </row>
    <row r="367" spans="1:6">
      <c r="A367" s="131" t="s">
        <v>758</v>
      </c>
      <c r="B367" s="129" t="s">
        <v>710</v>
      </c>
      <c r="C367" s="175">
        <f>Stream!C8/Stream!C6/1000</f>
        <v>4.1970076231653202E-7</v>
      </c>
      <c r="D367" s="129" t="s">
        <v>884</v>
      </c>
      <c r="E367" s="159"/>
      <c r="F367" s="150"/>
    </row>
    <row r="368" spans="1:6">
      <c r="A368" s="137" t="s">
        <v>711</v>
      </c>
      <c r="B368" s="129"/>
      <c r="C368" s="133">
        <f>f_b_004_f_20_Reynolds(C371,(C44-2*C45)/1000,C367)</f>
        <v>157067.20193742571</v>
      </c>
      <c r="D368" s="129"/>
      <c r="E368" s="150"/>
      <c r="F368" s="150"/>
    </row>
    <row r="369" spans="1:6">
      <c r="A369" s="137" t="s">
        <v>712</v>
      </c>
      <c r="B369" s="129"/>
      <c r="C369" s="130">
        <f>Stream!C9*Stream!C8*1000/Stream!C9</f>
        <v>295.09999999999997</v>
      </c>
      <c r="D369" s="129"/>
      <c r="E369" s="159"/>
      <c r="F369" s="150"/>
    </row>
    <row r="370" spans="1:6">
      <c r="A370" s="137" t="s">
        <v>713</v>
      </c>
      <c r="B370" s="129"/>
      <c r="C370" s="133">
        <f>C368*C369</f>
        <v>46350531.291734323</v>
      </c>
      <c r="D370" s="129"/>
      <c r="E370" s="163"/>
      <c r="F370" s="150"/>
    </row>
    <row r="371" spans="1:6">
      <c r="A371" s="131" t="s">
        <v>759</v>
      </c>
      <c r="B371" s="129" t="s">
        <v>249</v>
      </c>
      <c r="C371" s="128">
        <f>C31/C309/C365</f>
        <v>1.1728755463035656</v>
      </c>
      <c r="D371" s="129"/>
      <c r="E371" s="169"/>
      <c r="F371" s="150"/>
    </row>
    <row r="372" spans="1:6" ht="30">
      <c r="A372" s="137" t="s">
        <v>851</v>
      </c>
      <c r="B372" s="142" t="s">
        <v>614</v>
      </c>
      <c r="C372" s="189">
        <v>1830</v>
      </c>
      <c r="D372" s="151">
        <f>f_b_004_f_17_Alfa02(C368,C369,(C295-2*C296)/1000,C86/1000,C298/C295,C366)</f>
        <v>5860.0789715252349</v>
      </c>
      <c r="E372" s="150"/>
      <c r="F372" s="150"/>
    </row>
    <row r="373" spans="1:6">
      <c r="A373" s="131"/>
      <c r="B373" s="129"/>
      <c r="D373" s="129"/>
      <c r="E373" s="150"/>
      <c r="F373" s="150"/>
    </row>
    <row r="374" spans="1:6" ht="30">
      <c r="A374" s="131" t="s">
        <v>852</v>
      </c>
      <c r="B374" s="129"/>
      <c r="C374" s="102">
        <v>0.8</v>
      </c>
      <c r="D374" s="129"/>
      <c r="E374" s="169"/>
      <c r="F374" s="150"/>
    </row>
    <row r="375" spans="1:6">
      <c r="A375" s="137" t="s">
        <v>701</v>
      </c>
      <c r="B375" s="142" t="s">
        <v>614</v>
      </c>
      <c r="C375" s="141">
        <f ca="1">f_b_003_f_53_k_HeatTrans(C374,C362,C372,C328*1000,C329*1000)</f>
        <v>67.75673844559158</v>
      </c>
      <c r="D375" s="129"/>
      <c r="E375" s="150"/>
      <c r="F375" s="150"/>
    </row>
    <row r="376" spans="1:6" ht="30">
      <c r="A376" s="137" t="s">
        <v>698</v>
      </c>
      <c r="B376" s="142" t="s">
        <v>125</v>
      </c>
      <c r="C376" s="141">
        <f ca="1">f_b_004_f_31_dtlog(C293,C320,C323,C331,C333)</f>
        <v>552.73488190687374</v>
      </c>
      <c r="D376" s="150"/>
      <c r="E376" s="169"/>
      <c r="F376" s="150"/>
    </row>
    <row r="377" spans="1:6">
      <c r="A377" s="137" t="s">
        <v>844</v>
      </c>
      <c r="B377" s="142" t="s">
        <v>213</v>
      </c>
      <c r="C377" s="141">
        <f ca="1">C376*C375*C316/1000000</f>
        <v>0.16095531984967848</v>
      </c>
      <c r="D377" s="129"/>
      <c r="E377" s="160"/>
      <c r="F377" s="150"/>
    </row>
    <row r="378" spans="1:6">
      <c r="A378" s="131" t="s">
        <v>849</v>
      </c>
      <c r="B378" s="129" t="s">
        <v>213</v>
      </c>
      <c r="C378" s="116">
        <f ca="1">C336</f>
        <v>0.16841285065370398</v>
      </c>
      <c r="D378" s="160"/>
      <c r="E378" s="160"/>
      <c r="F378" s="160"/>
    </row>
    <row r="379" spans="1:6">
      <c r="A379" s="131"/>
      <c r="B379" s="129"/>
      <c r="D379" s="129"/>
      <c r="E379" s="160"/>
      <c r="F379" s="150"/>
    </row>
    <row r="380" spans="1:6">
      <c r="A380" s="131" t="s">
        <v>733</v>
      </c>
      <c r="B380" s="129" t="s">
        <v>210</v>
      </c>
      <c r="C380" s="116">
        <f ca="1">C321-C377*1000/C57/C61</f>
        <v>15642.612664135579</v>
      </c>
      <c r="D380" s="129"/>
      <c r="E380" s="160"/>
      <c r="F380" s="150"/>
    </row>
    <row r="381" spans="1:6">
      <c r="A381" s="131" t="s">
        <v>732</v>
      </c>
      <c r="B381" s="129" t="s">
        <v>125</v>
      </c>
      <c r="C381" s="116">
        <f ca="1">f_b_000_Interpolate(C380,Fuel!E159:E183,Fuel!A159:A183)</f>
        <v>719.05843484970171</v>
      </c>
      <c r="D381" s="129"/>
      <c r="E381" s="160"/>
      <c r="F381" s="150"/>
    </row>
    <row r="382" spans="1:6">
      <c r="A382" s="131" t="s">
        <v>885</v>
      </c>
      <c r="B382" s="129" t="s">
        <v>856</v>
      </c>
      <c r="C382" s="116">
        <f ca="1">C334</f>
        <v>-1407.8318880545853</v>
      </c>
      <c r="D382" s="129"/>
      <c r="E382" s="160"/>
      <c r="F382" s="150"/>
    </row>
    <row r="383" spans="1:6">
      <c r="A383" s="131" t="s">
        <v>886</v>
      </c>
      <c r="B383" s="129" t="s">
        <v>125</v>
      </c>
      <c r="C383" s="116">
        <f ca="1">C333</f>
        <v>283.56948206167192</v>
      </c>
      <c r="E383" s="66"/>
      <c r="F383" s="66"/>
    </row>
    <row r="385" spans="1:3">
      <c r="A385" s="62" t="s">
        <v>887</v>
      </c>
      <c r="B385" s="129"/>
    </row>
    <row r="386" spans="1:3">
      <c r="A386" s="62"/>
      <c r="B386" s="129"/>
    </row>
    <row r="387" spans="1:3" ht="30">
      <c r="A387" s="7" t="s">
        <v>907</v>
      </c>
      <c r="B387" s="129"/>
      <c r="C387" s="102">
        <v>1</v>
      </c>
    </row>
    <row r="388" spans="1:3">
      <c r="B388" s="129"/>
    </row>
    <row r="389" spans="1:3">
      <c r="A389" s="7" t="s">
        <v>902</v>
      </c>
      <c r="B389" s="129"/>
      <c r="C389" s="102">
        <v>0</v>
      </c>
    </row>
    <row r="390" spans="1:3">
      <c r="A390" s="7" t="s">
        <v>848</v>
      </c>
      <c r="B390" s="129"/>
      <c r="C390" s="102">
        <v>0</v>
      </c>
    </row>
    <row r="391" spans="1:3">
      <c r="B391" s="129"/>
    </row>
    <row r="392" spans="1:3">
      <c r="A392" s="7" t="s">
        <v>515</v>
      </c>
      <c r="B392" s="129" t="s">
        <v>113</v>
      </c>
      <c r="C392" s="130">
        <f>C295</f>
        <v>76</v>
      </c>
    </row>
    <row r="393" spans="1:3">
      <c r="A393" s="7" t="s">
        <v>351</v>
      </c>
      <c r="B393" s="129" t="s">
        <v>113</v>
      </c>
      <c r="C393" s="130">
        <f>C296</f>
        <v>5</v>
      </c>
    </row>
    <row r="394" spans="1:3" ht="75">
      <c r="A394" s="131" t="s">
        <v>1000</v>
      </c>
      <c r="B394" s="129"/>
      <c r="C394" s="130">
        <f>C297</f>
        <v>4</v>
      </c>
    </row>
    <row r="395" spans="1:3">
      <c r="A395" s="7" t="s">
        <v>722</v>
      </c>
      <c r="B395" s="129" t="s">
        <v>113</v>
      </c>
      <c r="C395" s="130">
        <f>C298</f>
        <v>0.08</v>
      </c>
    </row>
    <row r="396" spans="1:3">
      <c r="B396" s="129"/>
      <c r="C396" s="134"/>
    </row>
    <row r="397" spans="1:3">
      <c r="A397" s="7" t="s">
        <v>363</v>
      </c>
      <c r="B397" s="129" t="s">
        <v>113</v>
      </c>
      <c r="C397" s="102">
        <v>26</v>
      </c>
    </row>
    <row r="398" spans="1:3">
      <c r="A398" s="7" t="s">
        <v>838</v>
      </c>
      <c r="B398" s="129" t="s">
        <v>113</v>
      </c>
      <c r="C398" s="102">
        <v>1.3</v>
      </c>
    </row>
    <row r="399" spans="1:3">
      <c r="A399" s="7" t="s">
        <v>839</v>
      </c>
      <c r="B399" s="129"/>
      <c r="C399" s="102">
        <v>166</v>
      </c>
    </row>
    <row r="400" spans="1:3">
      <c r="A400" s="7" t="s">
        <v>840</v>
      </c>
      <c r="B400" s="129" t="s">
        <v>113</v>
      </c>
      <c r="C400" s="116">
        <f>1000/C399</f>
        <v>6.024096385542169</v>
      </c>
    </row>
    <row r="401" spans="1:5" ht="75">
      <c r="A401" s="131" t="s">
        <v>1001</v>
      </c>
      <c r="B401" s="129"/>
      <c r="C401" s="101">
        <v>4</v>
      </c>
    </row>
    <row r="402" spans="1:5">
      <c r="A402" s="7" t="s">
        <v>888</v>
      </c>
      <c r="B402" s="129" t="s">
        <v>743</v>
      </c>
      <c r="C402" s="116">
        <f ca="1">f_b_003_f_71_LambdaMet(C401,0.5*(C425+C428))</f>
        <v>34.194709477640259</v>
      </c>
    </row>
    <row r="403" spans="1:5">
      <c r="B403" s="129"/>
      <c r="C403" s="134"/>
    </row>
    <row r="404" spans="1:5">
      <c r="A404" s="7" t="s">
        <v>832</v>
      </c>
      <c r="B404" s="129" t="s">
        <v>113</v>
      </c>
      <c r="C404" s="130">
        <f>C300</f>
        <v>1500</v>
      </c>
    </row>
    <row r="405" spans="1:5">
      <c r="B405" s="129"/>
      <c r="C405" s="134"/>
    </row>
    <row r="406" spans="1:5">
      <c r="A406" s="7" t="s">
        <v>628</v>
      </c>
      <c r="B406" s="129" t="s">
        <v>113</v>
      </c>
      <c r="C406" s="130">
        <f>C302</f>
        <v>160</v>
      </c>
      <c r="D406" s="176"/>
    </row>
    <row r="407" spans="1:5">
      <c r="A407" s="7" t="s">
        <v>630</v>
      </c>
      <c r="B407" s="129" t="s">
        <v>113</v>
      </c>
      <c r="C407" s="130">
        <f>C303</f>
        <v>139</v>
      </c>
      <c r="D407" s="174">
        <f>SQRT(C406*C406/1000/1000-0.25*C406*C406/1000/1000)*1000</f>
        <v>138.5640646055102</v>
      </c>
    </row>
    <row r="408" spans="1:5">
      <c r="B408" s="129"/>
    </row>
    <row r="409" spans="1:5">
      <c r="A409" s="7" t="s">
        <v>833</v>
      </c>
      <c r="B409" s="129" t="s">
        <v>152</v>
      </c>
      <c r="C409" s="130">
        <f>(C416*C415-1)*C406/1000</f>
        <v>0.48</v>
      </c>
    </row>
    <row r="410" spans="1:5">
      <c r="A410" s="7" t="s">
        <v>834</v>
      </c>
      <c r="B410" s="129" t="s">
        <v>152</v>
      </c>
      <c r="C410" s="130">
        <f>(C417-1)*C407/1000</f>
        <v>0.55600000000000005</v>
      </c>
    </row>
    <row r="411" spans="1:5">
      <c r="A411" s="120"/>
      <c r="B411" s="150"/>
      <c r="C411" s="134"/>
      <c r="D411" s="66"/>
      <c r="E411" s="66"/>
    </row>
    <row r="412" spans="1:5" ht="30">
      <c r="A412" s="120" t="s">
        <v>845</v>
      </c>
      <c r="B412" s="150" t="s">
        <v>352</v>
      </c>
      <c r="C412" s="128">
        <f>f_b_003_f_57_FPCOrTube(0,0,C406*C415*C416/1000,C404/1000,C392/1000,C406/1000,C407/1000,C397/1000,C398/1000,C400/1000)</f>
        <v>0.43667040000000001</v>
      </c>
      <c r="D412" s="111"/>
      <c r="E412" s="66"/>
    </row>
    <row r="413" spans="1:5">
      <c r="A413" s="7" t="s">
        <v>846</v>
      </c>
      <c r="B413" s="129" t="s">
        <v>352</v>
      </c>
      <c r="C413" s="155">
        <f>0.25*PI()*C415*(C392-2*C393)/1000*(C392-2*C393)/1000</f>
        <v>3.4211943997592849E-3</v>
      </c>
    </row>
    <row r="414" spans="1:5">
      <c r="C414" s="134"/>
    </row>
    <row r="415" spans="1:5">
      <c r="A415" s="7" t="s">
        <v>112</v>
      </c>
      <c r="C415" s="130">
        <f>C311</f>
        <v>1</v>
      </c>
    </row>
    <row r="416" spans="1:5" ht="30">
      <c r="A416" s="7" t="s">
        <v>835</v>
      </c>
      <c r="C416" s="130">
        <f>C312</f>
        <v>4</v>
      </c>
    </row>
    <row r="417" spans="1:8" ht="30">
      <c r="A417" s="7" t="s">
        <v>837</v>
      </c>
      <c r="C417" s="102">
        <v>5</v>
      </c>
    </row>
    <row r="418" spans="1:8" ht="30">
      <c r="A418" s="131" t="s">
        <v>842</v>
      </c>
      <c r="C418" s="130">
        <f>C417*C416*C415</f>
        <v>20</v>
      </c>
    </row>
    <row r="419" spans="1:8">
      <c r="C419" s="134"/>
    </row>
    <row r="420" spans="1:8" ht="30">
      <c r="A420" s="7" t="s">
        <v>901</v>
      </c>
      <c r="B420" t="s">
        <v>352</v>
      </c>
      <c r="C420" s="116">
        <f>f_b_003_f_63_HOrTube(C392/1000,C404/1000,C418,C397/1000,C398/1000,C399)</f>
        <v>90.695957785398249</v>
      </c>
    </row>
    <row r="421" spans="1:8">
      <c r="A421" s="7" t="s">
        <v>900</v>
      </c>
      <c r="B421" s="129" t="s">
        <v>352</v>
      </c>
      <c r="C421" s="116">
        <f>PI()*C404/1000*(C392-2*C393)/1000*C418</f>
        <v>6.2203534541077907</v>
      </c>
    </row>
    <row r="423" spans="1:8">
      <c r="A423" s="17" t="s">
        <v>894</v>
      </c>
    </row>
    <row r="425" spans="1:8" ht="30">
      <c r="A425" s="79" t="s">
        <v>889</v>
      </c>
      <c r="B425" s="129" t="s">
        <v>125</v>
      </c>
      <c r="C425" s="116">
        <f ca="1">C381</f>
        <v>719.05843484970171</v>
      </c>
    </row>
    <row r="426" spans="1:8" ht="30">
      <c r="A426" s="79" t="s">
        <v>890</v>
      </c>
      <c r="B426" s="129" t="s">
        <v>210</v>
      </c>
      <c r="C426" s="116">
        <f ca="1">f_b_000_Interpolate(C425,Fuel!A159:A183,Fuel!D159:D183)</f>
        <v>15642.612664135579</v>
      </c>
    </row>
    <row r="427" spans="1:8" ht="30">
      <c r="A427" s="79" t="s">
        <v>908</v>
      </c>
      <c r="B427" s="129" t="s">
        <v>125</v>
      </c>
      <c r="C427" s="101">
        <v>368</v>
      </c>
      <c r="F427" s="247" t="s">
        <v>910</v>
      </c>
      <c r="G427" s="247"/>
      <c r="H427" s="247"/>
    </row>
    <row r="428" spans="1:8" ht="30">
      <c r="A428" s="79" t="s">
        <v>891</v>
      </c>
      <c r="B428" s="129" t="s">
        <v>125</v>
      </c>
      <c r="C428" s="116">
        <f>IF(C387=0,D428,C427)</f>
        <v>368</v>
      </c>
      <c r="D428" s="44">
        <f ca="1">C473</f>
        <v>358.83382723075556</v>
      </c>
      <c r="E428" s="99"/>
      <c r="F428" s="186"/>
      <c r="G428" s="186" t="s">
        <v>915</v>
      </c>
      <c r="H428" s="186" t="s">
        <v>916</v>
      </c>
    </row>
    <row r="429" spans="1:8" ht="30">
      <c r="A429" s="79" t="s">
        <v>892</v>
      </c>
      <c r="B429" s="129" t="s">
        <v>210</v>
      </c>
      <c r="C429" s="116">
        <f>f_b_000_Interpolate(C428,Fuel!A159:A183,Fuel!E159:E183)</f>
        <v>7664.9465829179862</v>
      </c>
      <c r="F429" s="186" t="s">
        <v>485</v>
      </c>
      <c r="G429" s="185">
        <v>360</v>
      </c>
      <c r="H429" s="185">
        <v>335</v>
      </c>
    </row>
    <row r="430" spans="1:8">
      <c r="A430" s="78"/>
      <c r="B430" s="129"/>
      <c r="F430" s="186" t="s">
        <v>912</v>
      </c>
      <c r="G430" s="185">
        <v>0.26</v>
      </c>
      <c r="H430" s="185">
        <v>0.27</v>
      </c>
    </row>
    <row r="431" spans="1:8" ht="30">
      <c r="A431" s="79" t="s">
        <v>893</v>
      </c>
      <c r="B431" s="129" t="s">
        <v>210</v>
      </c>
      <c r="C431" s="116">
        <f ca="1">C61*(C426-C429+C16*C47)</f>
        <v>7831.9838125032966</v>
      </c>
      <c r="F431" s="186" t="s">
        <v>911</v>
      </c>
      <c r="G431" s="185">
        <v>0.25</v>
      </c>
      <c r="H431" s="185">
        <v>0.23</v>
      </c>
    </row>
    <row r="432" spans="1:8">
      <c r="A432" s="78"/>
      <c r="B432" s="142" t="s">
        <v>213</v>
      </c>
      <c r="C432" s="143">
        <f ca="1">C431*C57/1000</f>
        <v>0.24915249054222785</v>
      </c>
      <c r="D432" s="200">
        <f ca="1">C469</f>
        <v>0.25533733986588519</v>
      </c>
      <c r="F432" s="186" t="s">
        <v>913</v>
      </c>
      <c r="G432" s="252">
        <f>f_b_003_f_64_FindRootOnLineX(G429,H429,G430,H430,G431,H431)</f>
        <v>368.33333333333326</v>
      </c>
      <c r="H432" s="253"/>
    </row>
    <row r="433" spans="1:8">
      <c r="A433" s="79" t="s">
        <v>868</v>
      </c>
      <c r="B433" s="129" t="s">
        <v>213</v>
      </c>
      <c r="C433" s="116">
        <v>0</v>
      </c>
      <c r="D433" s="177"/>
      <c r="F433" s="186" t="s">
        <v>914</v>
      </c>
      <c r="G433" s="245">
        <f>f_b_003_f_65_FindRootOnLineY(G429,H429,G430,H430,G431,H431)</f>
        <v>0.25666666666666671</v>
      </c>
      <c r="H433" s="246"/>
    </row>
    <row r="434" spans="1:8">
      <c r="A434" s="79" t="s">
        <v>869</v>
      </c>
      <c r="B434" s="129" t="s">
        <v>213</v>
      </c>
      <c r="C434" s="116">
        <f ca="1">C432+C433</f>
        <v>0.24915249054222785</v>
      </c>
      <c r="D434" s="177"/>
    </row>
    <row r="435" spans="1:8">
      <c r="A435" s="78"/>
      <c r="B435" s="129"/>
      <c r="C435" s="99"/>
      <c r="D435" s="177"/>
    </row>
    <row r="436" spans="1:8">
      <c r="A436" s="79" t="s">
        <v>895</v>
      </c>
      <c r="B436" s="129" t="s">
        <v>125</v>
      </c>
      <c r="C436" s="101">
        <v>230</v>
      </c>
      <c r="D436" s="177"/>
    </row>
    <row r="437" spans="1:8">
      <c r="A437" s="79" t="s">
        <v>896</v>
      </c>
      <c r="B437" s="129" t="s">
        <v>856</v>
      </c>
      <c r="C437" s="99"/>
      <c r="D437" s="177"/>
    </row>
    <row r="438" spans="1:8">
      <c r="A438" s="79" t="s">
        <v>897</v>
      </c>
      <c r="B438" s="129" t="s">
        <v>125</v>
      </c>
      <c r="C438" s="101">
        <v>270</v>
      </c>
      <c r="D438" s="177"/>
    </row>
    <row r="439" spans="1:8">
      <c r="A439" s="79" t="s">
        <v>898</v>
      </c>
      <c r="B439" s="129" t="s">
        <v>856</v>
      </c>
      <c r="C439" s="99"/>
      <c r="D439" s="177"/>
    </row>
    <row r="440" spans="1:8">
      <c r="A440" s="78"/>
      <c r="B440" s="129"/>
      <c r="C440" s="99"/>
      <c r="D440" s="177"/>
    </row>
    <row r="441" spans="1:8">
      <c r="A441" s="79" t="s">
        <v>867</v>
      </c>
      <c r="B441" s="129" t="s">
        <v>213</v>
      </c>
      <c r="C441" s="99"/>
      <c r="D441" s="177"/>
    </row>
    <row r="442" spans="1:8">
      <c r="A442" s="78"/>
      <c r="B442" s="129"/>
      <c r="C442" s="99"/>
      <c r="D442" s="177"/>
    </row>
    <row r="443" spans="1:8">
      <c r="A443" s="78"/>
      <c r="B443" s="129"/>
      <c r="C443" s="99"/>
      <c r="D443" s="177"/>
    </row>
    <row r="445" spans="1:8">
      <c r="A445" s="43" t="s">
        <v>831</v>
      </c>
      <c r="D445" s="129"/>
      <c r="E445" s="129"/>
      <c r="F445" s="129"/>
    </row>
    <row r="446" spans="1:8">
      <c r="A446" s="98" t="s">
        <v>847</v>
      </c>
      <c r="B446" t="s">
        <v>508</v>
      </c>
      <c r="C446" s="116">
        <f ca="1">C57*Fuel!D107*(0.5*(C425+C428)+273.15)/273.15</f>
        <v>1.4034447315026941</v>
      </c>
      <c r="D446" s="129"/>
      <c r="E446" s="129"/>
      <c r="F446" s="129"/>
    </row>
    <row r="447" spans="1:8">
      <c r="A447" s="157" t="s">
        <v>707</v>
      </c>
      <c r="B447" s="129" t="s">
        <v>207</v>
      </c>
      <c r="C447" s="132">
        <f ca="1">1.3*273.15/(0.5*(C425+C428)+273.15)</f>
        <v>0.4348035219013946</v>
      </c>
      <c r="D447" s="129"/>
      <c r="E447" s="129"/>
      <c r="F447" s="129"/>
    </row>
    <row r="448" spans="1:8">
      <c r="A448" s="157" t="s">
        <v>708</v>
      </c>
      <c r="B448" s="129" t="s">
        <v>721</v>
      </c>
      <c r="C448" s="132">
        <f ca="1">f_b_004_f_29_LambdaProductCombation(Fuel!D113,0.5*(C425+C428))</f>
        <v>7.0774485809198567E-2</v>
      </c>
      <c r="D448" s="150"/>
      <c r="E448" s="150"/>
      <c r="F448" s="150"/>
    </row>
    <row r="449" spans="1:6" ht="30">
      <c r="A449" s="157" t="s">
        <v>709</v>
      </c>
      <c r="B449" s="129" t="s">
        <v>710</v>
      </c>
      <c r="C449" s="175">
        <f ca="1">f_b_004_f_25_NuProductCombation(Fuel!D114,0.5*(C425+C428))</f>
        <v>8.1034064342057476E-5</v>
      </c>
      <c r="D449" s="150"/>
      <c r="E449" s="159"/>
      <c r="F449" s="150"/>
    </row>
    <row r="450" spans="1:6">
      <c r="A450" s="137" t="s">
        <v>711</v>
      </c>
      <c r="B450" s="129"/>
      <c r="C450" s="133">
        <f ca="1">f_b_004_f_20_Reynolds(C453,C392/1000,C449)</f>
        <v>3014.3073389301267</v>
      </c>
      <c r="D450" s="150"/>
      <c r="E450" s="150"/>
      <c r="F450" s="150"/>
    </row>
    <row r="451" spans="1:6">
      <c r="A451" s="137" t="s">
        <v>712</v>
      </c>
      <c r="B451" s="129"/>
      <c r="C451" s="132">
        <f ca="1">f_b_004_f_27_PrProductCombation(Fuel!D114,0.5*(C425+C428))</f>
        <v>0.63659376190898465</v>
      </c>
      <c r="D451" s="150"/>
      <c r="E451" s="159"/>
      <c r="F451" s="150"/>
    </row>
    <row r="452" spans="1:6">
      <c r="A452" s="137" t="s">
        <v>713</v>
      </c>
      <c r="B452" s="129"/>
      <c r="C452" s="133">
        <f ca="1">C450*C451</f>
        <v>1918.88924843939</v>
      </c>
      <c r="D452" s="150"/>
      <c r="E452" s="163"/>
      <c r="F452" s="150"/>
    </row>
    <row r="453" spans="1:6">
      <c r="A453" s="157" t="s">
        <v>706</v>
      </c>
      <c r="B453" s="129" t="s">
        <v>249</v>
      </c>
      <c r="C453" s="116">
        <f ca="1">C446/C412</f>
        <v>3.2139680901263152</v>
      </c>
      <c r="D453" s="150"/>
      <c r="E453" s="169"/>
      <c r="F453" s="150"/>
    </row>
    <row r="454" spans="1:6" ht="30">
      <c r="A454" s="137" t="s">
        <v>899</v>
      </c>
      <c r="B454" s="142" t="s">
        <v>614</v>
      </c>
      <c r="C454" s="141">
        <f ca="1">f_b_003_f_56_Alfa1PrivOrebrTube(0,0,C392/1000,C406/1000,C407/1000,C417,C397/1000,C398/1000,C400/1000,C402,C450,C451,C448)</f>
        <v>15.074585190146751</v>
      </c>
      <c r="D454" s="154">
        <f ca="1">f_b_004_f_16_Alfa01(C450,C451,C400/1000,C407/1000,C408/1000,C418,C448)</f>
        <v>455.94706686459358</v>
      </c>
      <c r="E454" s="150"/>
      <c r="F454" s="150"/>
    </row>
    <row r="455" spans="1:6">
      <c r="A455" s="137"/>
      <c r="B455" s="129"/>
      <c r="D455" s="129"/>
      <c r="E455" s="129"/>
      <c r="F455" s="129"/>
    </row>
    <row r="456" spans="1:6">
      <c r="A456" s="137" t="s">
        <v>830</v>
      </c>
      <c r="B456" s="129"/>
      <c r="D456" s="129"/>
      <c r="E456" s="129"/>
      <c r="F456" s="129"/>
    </row>
    <row r="457" spans="1:6">
      <c r="A457" s="131" t="s">
        <v>756</v>
      </c>
      <c r="B457" s="129" t="s">
        <v>207</v>
      </c>
      <c r="C457" s="116">
        <f>C365</f>
        <v>671.49</v>
      </c>
      <c r="D457" s="129" t="s">
        <v>883</v>
      </c>
      <c r="E457" s="129"/>
      <c r="F457" s="129"/>
    </row>
    <row r="458" spans="1:6">
      <c r="A458" s="131" t="s">
        <v>757</v>
      </c>
      <c r="B458" s="129" t="s">
        <v>721</v>
      </c>
      <c r="C458" s="132">
        <f>C366</f>
        <v>9.5399999999999999E-2</v>
      </c>
      <c r="D458" s="129"/>
      <c r="E458" s="129"/>
      <c r="F458" s="129"/>
    </row>
    <row r="459" spans="1:6">
      <c r="A459" s="131" t="s">
        <v>758</v>
      </c>
      <c r="B459" s="129" t="s">
        <v>710</v>
      </c>
      <c r="C459" s="175">
        <f>C367</f>
        <v>4.1970076231653202E-7</v>
      </c>
      <c r="D459" s="129" t="s">
        <v>884</v>
      </c>
      <c r="E459" s="159"/>
      <c r="F459" s="150"/>
    </row>
    <row r="460" spans="1:6">
      <c r="A460" s="137" t="s">
        <v>711</v>
      </c>
      <c r="B460" s="129"/>
      <c r="C460" s="133">
        <f>f_b_004_f_20_Reynolds(C463,(C392-2*C393)/1000,C459)</f>
        <v>184440.42281165559</v>
      </c>
      <c r="D460" s="129"/>
      <c r="E460" s="150"/>
      <c r="F460" s="150"/>
    </row>
    <row r="461" spans="1:6">
      <c r="A461" s="137" t="s">
        <v>712</v>
      </c>
      <c r="B461" s="129"/>
      <c r="C461" s="175">
        <f>C459*C457*1000/C458*Stream!C7</f>
        <v>7.6364494311875699</v>
      </c>
      <c r="D461" s="129"/>
      <c r="E461" s="159"/>
      <c r="F461" s="150"/>
    </row>
    <row r="462" spans="1:6">
      <c r="A462" s="137" t="s">
        <v>713</v>
      </c>
      <c r="B462" s="129"/>
      <c r="C462" s="133">
        <f>C460*C461</f>
        <v>1408469.9618680621</v>
      </c>
      <c r="D462" s="129"/>
      <c r="E462" s="163"/>
      <c r="F462" s="150"/>
    </row>
    <row r="463" spans="1:6">
      <c r="A463" s="131" t="s">
        <v>759</v>
      </c>
      <c r="B463" s="129" t="s">
        <v>249</v>
      </c>
      <c r="C463" s="128">
        <f>C31/C413/C457</f>
        <v>1.1728755463035656</v>
      </c>
      <c r="D463" s="129"/>
      <c r="E463" s="169"/>
      <c r="F463" s="150"/>
    </row>
    <row r="464" spans="1:6" ht="30">
      <c r="A464" s="137" t="s">
        <v>851</v>
      </c>
      <c r="B464" s="142" t="s">
        <v>614</v>
      </c>
      <c r="C464" s="189">
        <v>1700</v>
      </c>
      <c r="D464" s="151">
        <f>f_b_004_f_17_Alfa02(C460,C461,(C392-2*C393)/1000,C404/1000,C395/C392,C458)</f>
        <v>1795.651214022437</v>
      </c>
      <c r="E464" s="150"/>
      <c r="F464" s="150"/>
    </row>
    <row r="465" spans="1:6">
      <c r="A465" s="131"/>
      <c r="B465" s="129"/>
      <c r="D465" s="129"/>
      <c r="E465" s="150"/>
      <c r="F465" s="150"/>
    </row>
    <row r="466" spans="1:6" ht="30">
      <c r="A466" s="131" t="s">
        <v>852</v>
      </c>
      <c r="B466" s="129"/>
      <c r="C466" s="102">
        <v>0.8</v>
      </c>
      <c r="D466" s="129"/>
      <c r="E466" s="169"/>
      <c r="F466" s="150"/>
    </row>
    <row r="467" spans="1:6">
      <c r="A467" s="137" t="s">
        <v>701</v>
      </c>
      <c r="B467" s="142" t="s">
        <v>614</v>
      </c>
      <c r="C467" s="141">
        <f ca="1">f_b_003_f_54_k_HeatTrans(C466,C454,C464,C433,C432,C420,C421)</f>
        <v>10.678970167681642</v>
      </c>
      <c r="D467" s="129"/>
      <c r="E467" s="150"/>
      <c r="F467" s="150"/>
    </row>
    <row r="468" spans="1:6" ht="30">
      <c r="A468" s="137" t="s">
        <v>698</v>
      </c>
      <c r="B468" s="142" t="s">
        <v>125</v>
      </c>
      <c r="C468" s="141">
        <f ca="1">f_b_004_f_31_dtlog(C390,C425,C428,C436,C438)</f>
        <v>263.63133251043917</v>
      </c>
      <c r="D468" s="150"/>
      <c r="E468" s="169"/>
      <c r="F468" s="150"/>
    </row>
    <row r="469" spans="1:6">
      <c r="A469" s="137" t="s">
        <v>844</v>
      </c>
      <c r="B469" s="142" t="s">
        <v>213</v>
      </c>
      <c r="C469" s="141">
        <f ca="1">C468*C467*C420/1000000</f>
        <v>0.25533733986588519</v>
      </c>
      <c r="D469" s="129"/>
      <c r="E469" s="160"/>
      <c r="F469" s="150"/>
    </row>
    <row r="470" spans="1:6">
      <c r="A470" s="131" t="s">
        <v>849</v>
      </c>
      <c r="B470" s="129" t="s">
        <v>213</v>
      </c>
      <c r="C470" s="116">
        <f>C441</f>
        <v>0</v>
      </c>
      <c r="D470" s="160"/>
      <c r="E470" s="160"/>
      <c r="F470" s="160"/>
    </row>
    <row r="471" spans="1:6">
      <c r="A471" s="131"/>
      <c r="B471" s="129"/>
      <c r="D471" s="129"/>
      <c r="E471" s="160"/>
      <c r="F471" s="150"/>
    </row>
    <row r="472" spans="1:6">
      <c r="A472" s="131" t="s">
        <v>733</v>
      </c>
      <c r="B472" s="129" t="s">
        <v>210</v>
      </c>
      <c r="C472" s="116">
        <f ca="1">C426-C469*1000/C57/C61</f>
        <v>7466.9125895213992</v>
      </c>
      <c r="D472" s="129"/>
      <c r="E472" s="160"/>
      <c r="F472" s="150"/>
    </row>
    <row r="473" spans="1:6">
      <c r="A473" s="131" t="s">
        <v>732</v>
      </c>
      <c r="B473" s="129" t="s">
        <v>125</v>
      </c>
      <c r="C473" s="116">
        <f ca="1">f_b_000_Interpolate(C472,Fuel!E159:E183,Fuel!A159:A183)</f>
        <v>358.83382723075556</v>
      </c>
      <c r="D473" s="129"/>
      <c r="E473" s="160"/>
      <c r="F473" s="150"/>
    </row>
    <row r="474" spans="1:6">
      <c r="A474" s="131" t="s">
        <v>917</v>
      </c>
      <c r="B474" s="129" t="s">
        <v>856</v>
      </c>
      <c r="C474" s="116">
        <f ca="1">C21+C469*1000/C31</f>
        <v>-1470.335626441527</v>
      </c>
      <c r="D474" s="129"/>
      <c r="E474" s="160"/>
      <c r="F474" s="150"/>
    </row>
    <row r="475" spans="1:6">
      <c r="A475" s="131" t="s">
        <v>886</v>
      </c>
      <c r="B475" s="129" t="s">
        <v>125</v>
      </c>
      <c r="C475" s="116">
        <f ca="1">f_b_000_Interpolate2D(C19,C474,Stream!C85:E85,Stream!C107:Z109,Stream!C86:Z88)</f>
        <v>263.41919338438186</v>
      </c>
      <c r="E475" s="66"/>
      <c r="F475" s="66"/>
    </row>
    <row r="477" spans="1:6">
      <c r="B477" s="129"/>
    </row>
    <row r="478" spans="1:6">
      <c r="B478" s="129"/>
    </row>
    <row r="479" spans="1:6">
      <c r="A479" s="17" t="s">
        <v>992</v>
      </c>
      <c r="B479" s="129"/>
    </row>
    <row r="480" spans="1:6">
      <c r="A480" s="98"/>
      <c r="B480" s="129"/>
      <c r="C480" s="20" t="s">
        <v>995</v>
      </c>
      <c r="D480" t="s">
        <v>996</v>
      </c>
      <c r="E480" t="s">
        <v>997</v>
      </c>
      <c r="F480" t="s">
        <v>998</v>
      </c>
    </row>
    <row r="481" spans="1:6">
      <c r="A481" s="7" t="s">
        <v>993</v>
      </c>
      <c r="B481" s="129" t="s">
        <v>210</v>
      </c>
      <c r="C481" s="116">
        <f>C54</f>
        <v>7664.9465829179862</v>
      </c>
      <c r="D481" s="67">
        <f ca="1">C380</f>
        <v>15642.612664135579</v>
      </c>
      <c r="E481" s="67">
        <f ca="1">C73</f>
        <v>20796.274957303307</v>
      </c>
      <c r="F481" s="67">
        <f>C66</f>
        <v>42699.111493925928</v>
      </c>
    </row>
    <row r="482" spans="1:6">
      <c r="A482" s="7" t="s">
        <v>994</v>
      </c>
      <c r="B482" s="129" t="s">
        <v>125</v>
      </c>
      <c r="C482" s="116">
        <f>C28</f>
        <v>368</v>
      </c>
      <c r="D482" s="67">
        <f ca="1">C381</f>
        <v>719.05843484970171</v>
      </c>
      <c r="E482" s="67">
        <f ca="1">C190</f>
        <v>932.4625241456032</v>
      </c>
      <c r="F482" s="67">
        <f>C67</f>
        <v>1783.523154092095</v>
      </c>
    </row>
    <row r="483" spans="1:6">
      <c r="A483" s="7" t="s">
        <v>827</v>
      </c>
      <c r="B483" s="129" t="s">
        <v>125</v>
      </c>
      <c r="C483" s="130">
        <f>C20</f>
        <v>231.7</v>
      </c>
      <c r="D483" s="67">
        <f ca="1">C475</f>
        <v>263.41919338438186</v>
      </c>
      <c r="E483" s="67">
        <f ca="1">C333</f>
        <v>283.56948206167192</v>
      </c>
      <c r="F483" s="65">
        <f>C23</f>
        <v>347</v>
      </c>
    </row>
    <row r="484" spans="1:6">
      <c r="A484" s="7" t="s">
        <v>1002</v>
      </c>
      <c r="B484" s="129"/>
      <c r="F484" s="67">
        <f ca="1">C172</f>
        <v>361.28769598093231</v>
      </c>
    </row>
    <row r="485" spans="1:6">
      <c r="B485" s="129"/>
    </row>
    <row r="486" spans="1:6">
      <c r="B486" s="129"/>
    </row>
    <row r="487" spans="1:6">
      <c r="B487" s="129"/>
    </row>
    <row r="488" spans="1:6">
      <c r="B488" s="129"/>
    </row>
    <row r="489" spans="1:6">
      <c r="B489" s="129"/>
    </row>
    <row r="490" spans="1:6">
      <c r="B490" s="129"/>
    </row>
    <row r="491" spans="1:6">
      <c r="B491" s="129"/>
    </row>
    <row r="492" spans="1:6">
      <c r="B492" s="129"/>
    </row>
    <row r="493" spans="1:6">
      <c r="B493" s="129"/>
    </row>
    <row r="494" spans="1:6">
      <c r="B494" s="129"/>
    </row>
    <row r="495" spans="1:6">
      <c r="B495" s="129"/>
    </row>
    <row r="496" spans="1:6">
      <c r="B496" s="129"/>
    </row>
    <row r="497" spans="2:2">
      <c r="B497" s="129"/>
    </row>
    <row r="498" spans="2:2">
      <c r="B498" s="129"/>
    </row>
    <row r="499" spans="2:2">
      <c r="B499" s="129"/>
    </row>
    <row r="500" spans="2:2">
      <c r="B500" s="129"/>
    </row>
    <row r="501" spans="2:2">
      <c r="B501" s="129"/>
    </row>
    <row r="502" spans="2:2">
      <c r="B502" s="129"/>
    </row>
    <row r="503" spans="2:2">
      <c r="B503" s="129"/>
    </row>
    <row r="504" spans="2:2">
      <c r="B504" s="129"/>
    </row>
    <row r="505" spans="2:2">
      <c r="B505" s="129"/>
    </row>
    <row r="506" spans="2:2">
      <c r="B506" s="129"/>
    </row>
    <row r="507" spans="2:2">
      <c r="B507" s="129"/>
    </row>
    <row r="508" spans="2:2">
      <c r="B508" s="129"/>
    </row>
    <row r="509" spans="2:2">
      <c r="B509" s="129"/>
    </row>
    <row r="510" spans="2:2">
      <c r="B510" s="129"/>
    </row>
    <row r="511" spans="2:2">
      <c r="B511" s="129"/>
    </row>
    <row r="512" spans="2:2">
      <c r="B512" s="129"/>
    </row>
    <row r="513" spans="2:2">
      <c r="B513" s="129"/>
    </row>
    <row r="514" spans="2:2">
      <c r="B514" s="129"/>
    </row>
    <row r="515" spans="2:2">
      <c r="B515" s="129"/>
    </row>
    <row r="516" spans="2:2">
      <c r="B516" s="129"/>
    </row>
    <row r="517" spans="2:2">
      <c r="B517" s="129"/>
    </row>
    <row r="518" spans="2:2">
      <c r="B518" s="129"/>
    </row>
    <row r="519" spans="2:2">
      <c r="B519" s="129"/>
    </row>
    <row r="520" spans="2:2">
      <c r="B520" s="129"/>
    </row>
    <row r="521" spans="2:2">
      <c r="B521" s="129"/>
    </row>
    <row r="522" spans="2:2">
      <c r="B522" s="129"/>
    </row>
    <row r="523" spans="2:2">
      <c r="B523" s="129"/>
    </row>
    <row r="524" spans="2:2">
      <c r="B524" s="129"/>
    </row>
    <row r="525" spans="2:2">
      <c r="B525" s="129"/>
    </row>
    <row r="526" spans="2:2">
      <c r="B526" s="129"/>
    </row>
    <row r="527" spans="2:2">
      <c r="B527" s="129"/>
    </row>
    <row r="528" spans="2:2">
      <c r="B528" s="129"/>
    </row>
    <row r="529" spans="2:2">
      <c r="B529" s="129"/>
    </row>
    <row r="530" spans="2:2">
      <c r="B530" s="129"/>
    </row>
    <row r="531" spans="2:2">
      <c r="B531" s="129"/>
    </row>
    <row r="532" spans="2:2">
      <c r="B532" s="129"/>
    </row>
    <row r="533" spans="2:2">
      <c r="B533" s="129"/>
    </row>
    <row r="534" spans="2:2">
      <c r="B534" s="129"/>
    </row>
    <row r="535" spans="2:2">
      <c r="B535" s="129"/>
    </row>
    <row r="536" spans="2:2">
      <c r="B536" s="129"/>
    </row>
    <row r="537" spans="2:2">
      <c r="B537" s="129"/>
    </row>
    <row r="538" spans="2:2">
      <c r="B538" s="129"/>
    </row>
    <row r="539" spans="2:2">
      <c r="B539" s="129"/>
    </row>
    <row r="540" spans="2:2">
      <c r="B540" s="129"/>
    </row>
    <row r="541" spans="2:2">
      <c r="B541" s="129"/>
    </row>
    <row r="542" spans="2:2">
      <c r="B542" s="129"/>
    </row>
    <row r="543" spans="2:2">
      <c r="B543" s="129"/>
    </row>
    <row r="544" spans="2:2">
      <c r="B544" s="129"/>
    </row>
    <row r="545" spans="2:2">
      <c r="B545" s="129"/>
    </row>
    <row r="546" spans="2:2">
      <c r="B546" s="129"/>
    </row>
    <row r="547" spans="2:2">
      <c r="B547" s="129"/>
    </row>
    <row r="548" spans="2:2">
      <c r="B548" s="129"/>
    </row>
    <row r="549" spans="2:2">
      <c r="B549" s="129"/>
    </row>
    <row r="550" spans="2:2">
      <c r="B550" s="129"/>
    </row>
    <row r="551" spans="2:2">
      <c r="B551" s="129"/>
    </row>
    <row r="552" spans="2:2">
      <c r="B552" s="129"/>
    </row>
    <row r="553" spans="2:2">
      <c r="B553" s="129"/>
    </row>
    <row r="554" spans="2:2">
      <c r="B554" s="129"/>
    </row>
    <row r="555" spans="2:2">
      <c r="B555" s="129"/>
    </row>
    <row r="556" spans="2:2">
      <c r="B556" s="129"/>
    </row>
    <row r="557" spans="2:2">
      <c r="B557" s="129"/>
    </row>
    <row r="558" spans="2:2">
      <c r="B558" s="129"/>
    </row>
    <row r="559" spans="2:2">
      <c r="B559" s="129"/>
    </row>
    <row r="560" spans="2:2">
      <c r="B560" s="129"/>
    </row>
    <row r="561" spans="2:2">
      <c r="B561" s="129"/>
    </row>
    <row r="562" spans="2:2">
      <c r="B562" s="129"/>
    </row>
    <row r="563" spans="2:2">
      <c r="B563" s="129"/>
    </row>
    <row r="564" spans="2:2">
      <c r="B564" s="129"/>
    </row>
    <row r="565" spans="2:2">
      <c r="B565" s="129"/>
    </row>
    <row r="566" spans="2:2">
      <c r="B566" s="129"/>
    </row>
    <row r="567" spans="2:2">
      <c r="B567" s="129"/>
    </row>
    <row r="568" spans="2:2">
      <c r="B568" s="129"/>
    </row>
    <row r="569" spans="2:2">
      <c r="B569" s="129"/>
    </row>
    <row r="570" spans="2:2">
      <c r="B570" s="129"/>
    </row>
    <row r="571" spans="2:2">
      <c r="B571" s="129"/>
    </row>
    <row r="572" spans="2:2">
      <c r="B572" s="129"/>
    </row>
    <row r="573" spans="2:2">
      <c r="B573" s="129"/>
    </row>
    <row r="574" spans="2:2">
      <c r="B574" s="129"/>
    </row>
    <row r="575" spans="2:2">
      <c r="B575" s="129"/>
    </row>
    <row r="576" spans="2:2">
      <c r="B576" s="129"/>
    </row>
    <row r="577" spans="2:2">
      <c r="B577" s="129"/>
    </row>
    <row r="578" spans="2:2">
      <c r="B578" s="129"/>
    </row>
    <row r="579" spans="2:2">
      <c r="B579" s="129"/>
    </row>
    <row r="580" spans="2:2">
      <c r="B580" s="129"/>
    </row>
    <row r="581" spans="2:2">
      <c r="B581" s="129"/>
    </row>
    <row r="582" spans="2:2">
      <c r="B582" s="129"/>
    </row>
    <row r="583" spans="2:2">
      <c r="B583" s="129"/>
    </row>
    <row r="584" spans="2:2">
      <c r="B584" s="129"/>
    </row>
    <row r="585" spans="2:2">
      <c r="B585" s="129"/>
    </row>
    <row r="586" spans="2:2">
      <c r="B586" s="129"/>
    </row>
    <row r="587" spans="2:2">
      <c r="B587" s="129"/>
    </row>
    <row r="588" spans="2:2">
      <c r="B588" s="129"/>
    </row>
    <row r="589" spans="2:2">
      <c r="B589" s="129"/>
    </row>
    <row r="590" spans="2:2">
      <c r="B590" s="129"/>
    </row>
    <row r="591" spans="2:2">
      <c r="B591" s="129"/>
    </row>
    <row r="592" spans="2:2">
      <c r="B592" s="129"/>
    </row>
    <row r="593" spans="2:2">
      <c r="B593" s="129"/>
    </row>
    <row r="594" spans="2:2">
      <c r="B594" s="129"/>
    </row>
    <row r="595" spans="2:2">
      <c r="B595" s="129"/>
    </row>
    <row r="596" spans="2:2">
      <c r="B596" s="129"/>
    </row>
    <row r="597" spans="2:2">
      <c r="B597" s="129"/>
    </row>
    <row r="598" spans="2:2">
      <c r="B598" s="129"/>
    </row>
    <row r="599" spans="2:2">
      <c r="B599" s="129"/>
    </row>
    <row r="600" spans="2:2">
      <c r="B600" s="129"/>
    </row>
    <row r="601" spans="2:2">
      <c r="B601" s="129"/>
    </row>
    <row r="602" spans="2:2">
      <c r="B602" s="129"/>
    </row>
    <row r="603" spans="2:2">
      <c r="B603" s="129"/>
    </row>
    <row r="604" spans="2:2">
      <c r="B604" s="129"/>
    </row>
    <row r="611" spans="1:2">
      <c r="A611" s="131"/>
      <c r="B611" s="129"/>
    </row>
  </sheetData>
  <mergeCells count="6">
    <mergeCell ref="G433:H433"/>
    <mergeCell ref="F322:H322"/>
    <mergeCell ref="G327:H327"/>
    <mergeCell ref="G328:H328"/>
    <mergeCell ref="F427:H427"/>
    <mergeCell ref="G432:H432"/>
  </mergeCells>
  <pageMargins left="0.70866141732283472" right="0.70866141732283472" top="0.74803149606299213" bottom="0.74803149606299213" header="0.31496062992125984" footer="0.31496062992125984"/>
  <pageSetup paperSize="9" scale="67" fitToHeight="0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E18"/>
  <sheetViews>
    <sheetView workbookViewId="0">
      <selection activeCell="B12" sqref="B12"/>
    </sheetView>
  </sheetViews>
  <sheetFormatPr defaultRowHeight="15"/>
  <cols>
    <col min="1" max="1" width="21.5703125" bestFit="1" customWidth="1"/>
    <col min="2" max="2" width="17.7109375" bestFit="1" customWidth="1"/>
    <col min="3" max="3" width="19.28515625" bestFit="1" customWidth="1"/>
    <col min="4" max="4" width="14.85546875" bestFit="1" customWidth="1"/>
    <col min="5" max="5" width="19.28515625" bestFit="1" customWidth="1"/>
    <col min="6" max="6" width="14.85546875" bestFit="1" customWidth="1"/>
  </cols>
  <sheetData>
    <row r="1" spans="1:5">
      <c r="A1" t="s">
        <v>666</v>
      </c>
    </row>
    <row r="2" spans="1:5">
      <c r="B2" t="s">
        <v>670</v>
      </c>
      <c r="C2" t="s">
        <v>669</v>
      </c>
      <c r="D2" t="s">
        <v>673</v>
      </c>
      <c r="E2" t="s">
        <v>667</v>
      </c>
    </row>
    <row r="3" spans="1:5">
      <c r="A3" s="6">
        <v>1</v>
      </c>
      <c r="B3" t="s">
        <v>671</v>
      </c>
      <c r="C3" t="s">
        <v>672</v>
      </c>
      <c r="D3" t="s">
        <v>674</v>
      </c>
      <c r="E3" t="s">
        <v>668</v>
      </c>
    </row>
    <row r="4" spans="1:5">
      <c r="A4" s="6">
        <v>2</v>
      </c>
      <c r="B4" t="s">
        <v>749</v>
      </c>
      <c r="C4" t="s">
        <v>672</v>
      </c>
      <c r="D4" t="s">
        <v>674</v>
      </c>
      <c r="E4" t="s">
        <v>668</v>
      </c>
    </row>
    <row r="5" spans="1:5">
      <c r="A5" s="6">
        <v>3</v>
      </c>
      <c r="B5" t="s">
        <v>671</v>
      </c>
      <c r="C5" t="s">
        <v>672</v>
      </c>
      <c r="D5" t="s">
        <v>674</v>
      </c>
      <c r="E5" t="s">
        <v>482</v>
      </c>
    </row>
    <row r="6" spans="1:5">
      <c r="A6" s="6">
        <v>4</v>
      </c>
      <c r="B6" t="s">
        <v>749</v>
      </c>
      <c r="C6" t="s">
        <v>672</v>
      </c>
      <c r="D6" t="s">
        <v>674</v>
      </c>
      <c r="E6" t="s">
        <v>482</v>
      </c>
    </row>
    <row r="7" spans="1:5">
      <c r="A7" s="6">
        <v>5</v>
      </c>
      <c r="B7" t="s">
        <v>671</v>
      </c>
      <c r="C7" t="s">
        <v>672</v>
      </c>
      <c r="D7" t="s">
        <v>750</v>
      </c>
      <c r="E7" t="s">
        <v>668</v>
      </c>
    </row>
    <row r="8" spans="1:5">
      <c r="A8" s="6">
        <v>6</v>
      </c>
      <c r="B8" t="s">
        <v>749</v>
      </c>
      <c r="C8" t="s">
        <v>672</v>
      </c>
      <c r="D8" t="s">
        <v>750</v>
      </c>
      <c r="E8" t="s">
        <v>668</v>
      </c>
    </row>
    <row r="9" spans="1:5">
      <c r="A9" s="6">
        <v>7</v>
      </c>
      <c r="B9" t="s">
        <v>671</v>
      </c>
      <c r="C9" t="s">
        <v>672</v>
      </c>
      <c r="D9" t="s">
        <v>750</v>
      </c>
      <c r="E9" t="s">
        <v>482</v>
      </c>
    </row>
    <row r="10" spans="1:5">
      <c r="A10" s="6">
        <v>8</v>
      </c>
      <c r="B10" t="s">
        <v>749</v>
      </c>
      <c r="C10" t="s">
        <v>672</v>
      </c>
      <c r="D10" t="s">
        <v>750</v>
      </c>
      <c r="E10" t="s">
        <v>482</v>
      </c>
    </row>
    <row r="11" spans="1:5">
      <c r="A11" s="6">
        <v>9</v>
      </c>
      <c r="B11" t="s">
        <v>671</v>
      </c>
      <c r="C11" t="s">
        <v>672</v>
      </c>
      <c r="D11" t="s">
        <v>674</v>
      </c>
      <c r="E11" t="s">
        <v>909</v>
      </c>
    </row>
    <row r="12" spans="1:5">
      <c r="A12" s="6">
        <v>10</v>
      </c>
      <c r="B12" t="s">
        <v>749</v>
      </c>
      <c r="C12" t="s">
        <v>672</v>
      </c>
      <c r="D12" t="s">
        <v>674</v>
      </c>
      <c r="E12" t="s">
        <v>909</v>
      </c>
    </row>
    <row r="13" spans="1:5">
      <c r="A13" s="6">
        <v>11</v>
      </c>
      <c r="B13" t="s">
        <v>671</v>
      </c>
      <c r="C13" t="s">
        <v>672</v>
      </c>
      <c r="D13" t="s">
        <v>674</v>
      </c>
      <c r="E13" t="s">
        <v>909</v>
      </c>
    </row>
    <row r="14" spans="1:5">
      <c r="A14" s="6">
        <v>12</v>
      </c>
      <c r="B14" t="s">
        <v>749</v>
      </c>
      <c r="C14" t="s">
        <v>672</v>
      </c>
      <c r="D14" t="s">
        <v>674</v>
      </c>
      <c r="E14" t="s">
        <v>909</v>
      </c>
    </row>
    <row r="15" spans="1:5">
      <c r="A15" s="6">
        <v>13</v>
      </c>
      <c r="B15" t="s">
        <v>671</v>
      </c>
      <c r="C15" t="s">
        <v>672</v>
      </c>
      <c r="D15" t="s">
        <v>750</v>
      </c>
      <c r="E15" t="s">
        <v>909</v>
      </c>
    </row>
    <row r="16" spans="1:5">
      <c r="A16" s="6">
        <v>14</v>
      </c>
      <c r="B16" t="s">
        <v>749</v>
      </c>
      <c r="C16" t="s">
        <v>672</v>
      </c>
      <c r="D16" t="s">
        <v>750</v>
      </c>
      <c r="E16" t="s">
        <v>909</v>
      </c>
    </row>
    <row r="17" spans="1:5">
      <c r="A17" s="6">
        <v>15</v>
      </c>
      <c r="B17" t="s">
        <v>671</v>
      </c>
      <c r="C17" t="s">
        <v>672</v>
      </c>
      <c r="D17" t="s">
        <v>750</v>
      </c>
      <c r="E17" t="s">
        <v>909</v>
      </c>
    </row>
    <row r="18" spans="1:5">
      <c r="A18" s="6">
        <v>16</v>
      </c>
      <c r="B18" t="s">
        <v>749</v>
      </c>
      <c r="C18" t="s">
        <v>672</v>
      </c>
      <c r="D18" t="s">
        <v>750</v>
      </c>
      <c r="E18" t="s">
        <v>909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Z148"/>
  <sheetViews>
    <sheetView workbookViewId="0">
      <selection activeCell="D76" sqref="D76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26">
      <c r="A1" s="17" t="s">
        <v>119</v>
      </c>
      <c r="B1" s="198" t="s">
        <v>118</v>
      </c>
      <c r="C1" s="19" t="s">
        <v>120</v>
      </c>
    </row>
    <row r="2" spans="1:26">
      <c r="A2" s="7"/>
      <c r="C2" s="20"/>
    </row>
    <row r="3" spans="1:26">
      <c r="A3" s="17" t="s">
        <v>769</v>
      </c>
      <c r="B3" t="s">
        <v>770</v>
      </c>
      <c r="C3" s="102">
        <v>0.10100000000000001</v>
      </c>
    </row>
    <row r="4" spans="1:26">
      <c r="A4" s="17"/>
      <c r="C4" s="20"/>
    </row>
    <row r="5" spans="1:26" s="6" customFormat="1">
      <c r="A5" s="43" t="s">
        <v>771</v>
      </c>
      <c r="B5" s="6" t="s">
        <v>98</v>
      </c>
      <c r="C5" s="19">
        <v>100</v>
      </c>
      <c r="D5" s="6">
        <v>113.49</v>
      </c>
      <c r="E5" s="6">
        <v>126.94</v>
      </c>
      <c r="F5" s="6">
        <v>140.35</v>
      </c>
      <c r="G5" s="6">
        <v>153.72</v>
      </c>
      <c r="H5" s="6">
        <v>167.04</v>
      </c>
      <c r="I5" s="6">
        <v>180.32</v>
      </c>
      <c r="J5" s="6">
        <v>193.56</v>
      </c>
      <c r="K5" s="6">
        <v>206.76</v>
      </c>
      <c r="L5" s="6">
        <v>219.92</v>
      </c>
      <c r="M5" s="6">
        <v>233.04</v>
      </c>
      <c r="N5" s="6">
        <v>246.11</v>
      </c>
      <c r="O5" s="6">
        <v>259.14999999999998</v>
      </c>
      <c r="P5" s="6">
        <v>272.14999999999998</v>
      </c>
      <c r="Q5" s="6">
        <v>285.10000000000002</v>
      </c>
      <c r="R5" s="6">
        <v>298.02</v>
      </c>
      <c r="S5" s="6">
        <v>310.89999999999998</v>
      </c>
      <c r="T5" s="6">
        <v>323.74</v>
      </c>
      <c r="U5" s="6">
        <v>336.54</v>
      </c>
      <c r="V5" s="6">
        <v>349.31</v>
      </c>
      <c r="W5" s="6">
        <v>362.04</v>
      </c>
      <c r="X5" s="6">
        <v>374.73</v>
      </c>
      <c r="Y5" s="6">
        <v>387.38</v>
      </c>
      <c r="Z5" s="6">
        <v>400</v>
      </c>
    </row>
    <row r="6" spans="1:26">
      <c r="A6" t="s">
        <v>772</v>
      </c>
      <c r="B6" t="s">
        <v>102</v>
      </c>
    </row>
    <row r="7" spans="1:26">
      <c r="A7" t="s">
        <v>773</v>
      </c>
      <c r="B7" t="s">
        <v>774</v>
      </c>
    </row>
    <row r="8" spans="1:26">
      <c r="A8" t="s">
        <v>775</v>
      </c>
      <c r="B8" t="s">
        <v>776</v>
      </c>
    </row>
    <row r="9" spans="1:26">
      <c r="A9" t="s">
        <v>777</v>
      </c>
      <c r="B9" t="s">
        <v>778</v>
      </c>
    </row>
    <row r="10" spans="1:26">
      <c r="A10" t="s">
        <v>779</v>
      </c>
      <c r="B10" t="s">
        <v>780</v>
      </c>
    </row>
    <row r="11" spans="1:26">
      <c r="A11" t="s">
        <v>781</v>
      </c>
    </row>
    <row r="12" spans="1:26" s="6" customFormat="1">
      <c r="A12" s="6" t="s">
        <v>782</v>
      </c>
      <c r="B12" s="6" t="s">
        <v>783</v>
      </c>
      <c r="C12" s="6">
        <v>0</v>
      </c>
      <c r="D12" s="6">
        <v>15.2</v>
      </c>
      <c r="E12" s="6">
        <v>30.3</v>
      </c>
      <c r="F12" s="6">
        <v>45.5</v>
      </c>
      <c r="G12" s="6">
        <v>60.7</v>
      </c>
      <c r="H12" s="6">
        <v>75.8</v>
      </c>
      <c r="I12" s="6">
        <v>91</v>
      </c>
      <c r="J12" s="6">
        <v>106.2</v>
      </c>
      <c r="K12" s="6">
        <v>121.3</v>
      </c>
      <c r="L12" s="6">
        <v>136.5</v>
      </c>
      <c r="M12" s="6">
        <v>151.6</v>
      </c>
      <c r="N12" s="6">
        <v>166.8</v>
      </c>
      <c r="O12" s="6">
        <v>182</v>
      </c>
      <c r="P12" s="6">
        <v>197.1</v>
      </c>
      <c r="Q12" s="6">
        <v>212.3</v>
      </c>
      <c r="R12" s="6">
        <v>227.5</v>
      </c>
      <c r="S12" s="6">
        <v>242.6</v>
      </c>
      <c r="T12" s="6">
        <v>257.8</v>
      </c>
      <c r="U12" s="6">
        <v>273</v>
      </c>
      <c r="V12" s="6">
        <v>288.10000000000002</v>
      </c>
      <c r="W12" s="6">
        <v>303.3</v>
      </c>
      <c r="X12" s="6">
        <v>318.5</v>
      </c>
      <c r="Y12" s="6">
        <v>333.6</v>
      </c>
      <c r="Z12" s="6">
        <v>348.8</v>
      </c>
    </row>
    <row r="13" spans="1:26" s="6" customFormat="1">
      <c r="A13" s="6" t="s">
        <v>784</v>
      </c>
      <c r="C13" s="6">
        <v>1</v>
      </c>
      <c r="D13" s="6">
        <v>1</v>
      </c>
      <c r="E13" s="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187">
        <v>1</v>
      </c>
      <c r="Q13" s="187">
        <v>1</v>
      </c>
      <c r="R13" s="187">
        <v>1</v>
      </c>
      <c r="S13" s="187">
        <v>1</v>
      </c>
      <c r="T13" s="187">
        <v>1</v>
      </c>
      <c r="U13" s="187">
        <v>1</v>
      </c>
      <c r="V13" s="187">
        <v>1</v>
      </c>
      <c r="W13" s="187">
        <v>1</v>
      </c>
      <c r="X13" s="187">
        <v>1</v>
      </c>
      <c r="Y13" s="187">
        <v>1</v>
      </c>
      <c r="Z13" s="187">
        <v>1</v>
      </c>
    </row>
    <row r="14" spans="1:26">
      <c r="A14" t="s">
        <v>785</v>
      </c>
      <c r="B14" t="s">
        <v>102</v>
      </c>
      <c r="C14">
        <v>0.91</v>
      </c>
      <c r="D14">
        <v>0.88</v>
      </c>
      <c r="E14">
        <v>0.85</v>
      </c>
      <c r="F14">
        <v>0.82</v>
      </c>
      <c r="G14">
        <v>0.79</v>
      </c>
      <c r="H14">
        <v>0.77</v>
      </c>
      <c r="I14">
        <v>0.75</v>
      </c>
      <c r="J14">
        <v>0.73</v>
      </c>
      <c r="K14">
        <v>0.71</v>
      </c>
      <c r="L14">
        <v>0.69</v>
      </c>
      <c r="M14">
        <v>0.67</v>
      </c>
      <c r="N14">
        <v>0.65</v>
      </c>
      <c r="O14">
        <v>0.64</v>
      </c>
      <c r="P14">
        <v>0.62</v>
      </c>
      <c r="Q14">
        <v>0.61</v>
      </c>
      <c r="R14">
        <v>0.59</v>
      </c>
      <c r="S14">
        <v>0.57999999999999996</v>
      </c>
      <c r="T14">
        <v>0.56999999999999995</v>
      </c>
      <c r="U14">
        <v>0.56000000000000005</v>
      </c>
      <c r="V14">
        <v>0.54</v>
      </c>
      <c r="W14">
        <v>0.53</v>
      </c>
      <c r="X14">
        <v>0.52</v>
      </c>
      <c r="Y14">
        <v>0.51</v>
      </c>
      <c r="Z14">
        <v>0.5</v>
      </c>
    </row>
    <row r="15" spans="1:26">
      <c r="A15" t="s">
        <v>786</v>
      </c>
      <c r="B15" t="s">
        <v>774</v>
      </c>
      <c r="C15">
        <v>1.1220000000000001</v>
      </c>
      <c r="D15">
        <v>1.125</v>
      </c>
      <c r="E15">
        <v>1.129</v>
      </c>
      <c r="F15">
        <v>1.1319999999999999</v>
      </c>
      <c r="G15">
        <v>1.1359999999999999</v>
      </c>
      <c r="H15">
        <v>1.1399999999999999</v>
      </c>
      <c r="I15">
        <v>1.143</v>
      </c>
      <c r="J15">
        <v>1.147</v>
      </c>
      <c r="K15">
        <v>1.1499999999999999</v>
      </c>
      <c r="L15">
        <v>1.1539999999999999</v>
      </c>
      <c r="M15">
        <v>1.1579999999999999</v>
      </c>
      <c r="N15">
        <v>1.161</v>
      </c>
      <c r="O15">
        <v>1.165</v>
      </c>
      <c r="P15">
        <v>1.1679999999999999</v>
      </c>
      <c r="Q15">
        <v>1.1719999999999999</v>
      </c>
      <c r="R15">
        <v>1.1759999999999999</v>
      </c>
      <c r="S15">
        <v>1.179</v>
      </c>
      <c r="T15">
        <v>1.1830000000000001</v>
      </c>
      <c r="U15">
        <v>1.1859999999999999</v>
      </c>
      <c r="V15">
        <v>1.19</v>
      </c>
      <c r="W15">
        <v>1.1930000000000001</v>
      </c>
      <c r="X15">
        <v>1.1970000000000001</v>
      </c>
      <c r="Y15">
        <v>1.2</v>
      </c>
      <c r="Z15">
        <v>1.2030000000000001</v>
      </c>
    </row>
    <row r="16" spans="1:26">
      <c r="A16" t="s">
        <v>787</v>
      </c>
      <c r="B16" t="s">
        <v>776</v>
      </c>
      <c r="C16">
        <v>1.9400000000000001E-2</v>
      </c>
      <c r="D16">
        <v>0.02</v>
      </c>
      <c r="E16">
        <v>2.06E-2</v>
      </c>
      <c r="F16">
        <v>2.12E-2</v>
      </c>
      <c r="G16">
        <v>2.1700000000000001E-2</v>
      </c>
      <c r="H16">
        <v>2.2200000000000001E-2</v>
      </c>
      <c r="I16">
        <v>2.2700000000000001E-2</v>
      </c>
      <c r="J16">
        <v>2.3199999999999998E-2</v>
      </c>
      <c r="K16">
        <v>2.3699999999999999E-2</v>
      </c>
      <c r="L16">
        <v>2.4199999999999999E-2</v>
      </c>
      <c r="M16">
        <v>2.46E-2</v>
      </c>
      <c r="N16">
        <v>2.5100000000000001E-2</v>
      </c>
      <c r="O16">
        <v>2.5499999999999998E-2</v>
      </c>
      <c r="P16">
        <v>2.5999999999999999E-2</v>
      </c>
      <c r="Q16">
        <v>2.64E-2</v>
      </c>
      <c r="R16">
        <v>2.6800000000000001E-2</v>
      </c>
      <c r="S16">
        <v>2.7199999999999998E-2</v>
      </c>
      <c r="T16">
        <v>2.7699999999999999E-2</v>
      </c>
      <c r="U16">
        <v>2.81E-2</v>
      </c>
      <c r="V16">
        <v>2.8500000000000001E-2</v>
      </c>
      <c r="W16">
        <v>2.8899999999999999E-2</v>
      </c>
      <c r="X16">
        <v>2.93E-2</v>
      </c>
      <c r="Y16">
        <v>2.9700000000000001E-2</v>
      </c>
      <c r="Z16">
        <v>3.0099999999999998E-2</v>
      </c>
    </row>
    <row r="17" spans="1:26">
      <c r="A17" t="s">
        <v>788</v>
      </c>
      <c r="B17" t="s">
        <v>778</v>
      </c>
      <c r="C17">
        <v>2.9100000000000001E-2</v>
      </c>
      <c r="D17">
        <v>0.03</v>
      </c>
      <c r="E17">
        <v>3.09E-2</v>
      </c>
      <c r="F17">
        <v>3.1899999999999998E-2</v>
      </c>
      <c r="G17">
        <v>3.2800000000000003E-2</v>
      </c>
      <c r="H17">
        <v>3.3700000000000001E-2</v>
      </c>
      <c r="I17">
        <v>3.4599999999999999E-2</v>
      </c>
      <c r="J17">
        <v>3.5499999999999997E-2</v>
      </c>
      <c r="K17">
        <v>3.6400000000000002E-2</v>
      </c>
      <c r="L17">
        <v>3.73E-2</v>
      </c>
      <c r="M17">
        <v>3.8199999999999998E-2</v>
      </c>
      <c r="N17">
        <v>3.9E-2</v>
      </c>
      <c r="O17">
        <v>3.9899999999999998E-2</v>
      </c>
      <c r="P17">
        <v>4.0800000000000003E-2</v>
      </c>
      <c r="Q17">
        <v>4.1599999999999998E-2</v>
      </c>
      <c r="R17">
        <v>4.2500000000000003E-2</v>
      </c>
      <c r="S17">
        <v>4.3299999999999998E-2</v>
      </c>
      <c r="T17">
        <v>4.4200000000000003E-2</v>
      </c>
      <c r="U17">
        <v>4.4999999999999998E-2</v>
      </c>
      <c r="V17">
        <v>4.58E-2</v>
      </c>
      <c r="W17">
        <v>4.6699999999999998E-2</v>
      </c>
      <c r="X17">
        <v>4.7500000000000001E-2</v>
      </c>
      <c r="Y17">
        <v>4.8300000000000003E-2</v>
      </c>
      <c r="Z17">
        <v>4.9099999999999998E-2</v>
      </c>
    </row>
    <row r="18" spans="1:26">
      <c r="A18" t="s">
        <v>789</v>
      </c>
      <c r="C18">
        <v>27.808769999999999</v>
      </c>
      <c r="D18">
        <v>27.808769999999999</v>
      </c>
      <c r="E18">
        <v>27.808769999999999</v>
      </c>
      <c r="F18">
        <v>27.808769999999999</v>
      </c>
      <c r="G18">
        <v>27.808769999999999</v>
      </c>
      <c r="H18">
        <v>27.808769999999999</v>
      </c>
      <c r="I18">
        <v>27.808769999999999</v>
      </c>
      <c r="J18">
        <v>27.808769999999999</v>
      </c>
      <c r="K18">
        <v>27.808769999999999</v>
      </c>
      <c r="L18">
        <v>27.808769999999999</v>
      </c>
      <c r="M18">
        <v>27.808769999999999</v>
      </c>
      <c r="N18">
        <v>27.808769999999999</v>
      </c>
      <c r="O18">
        <v>27.808769999999999</v>
      </c>
      <c r="P18">
        <v>27.808769999999999</v>
      </c>
      <c r="Q18">
        <v>27.808769999999999</v>
      </c>
      <c r="R18">
        <v>27.808769999999999</v>
      </c>
      <c r="S18">
        <v>27.808769999999999</v>
      </c>
      <c r="T18">
        <v>27.808769999999999</v>
      </c>
      <c r="U18">
        <v>27.808769999999999</v>
      </c>
      <c r="V18">
        <v>27.808769999999999</v>
      </c>
      <c r="W18">
        <v>27.808769999999999</v>
      </c>
      <c r="X18">
        <v>27.808769999999999</v>
      </c>
      <c r="Y18">
        <v>27.808769999999999</v>
      </c>
      <c r="Z18">
        <v>27.808769999999999</v>
      </c>
    </row>
    <row r="19" spans="1:26" s="6" customFormat="1">
      <c r="A19" s="6" t="s">
        <v>790</v>
      </c>
    </row>
    <row r="20" spans="1:26">
      <c r="A20" t="s">
        <v>772</v>
      </c>
      <c r="B20" t="s">
        <v>102</v>
      </c>
    </row>
    <row r="21" spans="1:26">
      <c r="A21" t="s">
        <v>791</v>
      </c>
      <c r="B21" t="s">
        <v>774</v>
      </c>
    </row>
    <row r="22" spans="1:26">
      <c r="A22" t="s">
        <v>792</v>
      </c>
      <c r="B22" t="s">
        <v>776</v>
      </c>
    </row>
    <row r="23" spans="1:26">
      <c r="A23" t="s">
        <v>793</v>
      </c>
      <c r="B23" t="s">
        <v>778</v>
      </c>
    </row>
    <row r="24" spans="1:26">
      <c r="A24" t="s">
        <v>794</v>
      </c>
      <c r="B24" t="s">
        <v>780</v>
      </c>
    </row>
    <row r="25" spans="1:26">
      <c r="A25" t="s">
        <v>795</v>
      </c>
    </row>
    <row r="27" spans="1:26">
      <c r="A27" s="17" t="s">
        <v>796</v>
      </c>
      <c r="B27" t="s">
        <v>770</v>
      </c>
      <c r="C27" s="102">
        <v>0.10100000000000001</v>
      </c>
    </row>
    <row r="29" spans="1:26" s="6" customFormat="1">
      <c r="A29" s="6" t="s">
        <v>771</v>
      </c>
      <c r="B29" s="6" t="s">
        <v>98</v>
      </c>
      <c r="C29" s="6">
        <v>100</v>
      </c>
      <c r="D29" s="6">
        <v>113.49</v>
      </c>
      <c r="E29" s="6">
        <v>126.94</v>
      </c>
      <c r="F29" s="6">
        <v>140.35</v>
      </c>
      <c r="G29" s="6">
        <v>153.72</v>
      </c>
      <c r="H29" s="6">
        <v>167.04</v>
      </c>
      <c r="I29" s="6">
        <v>180.32</v>
      </c>
      <c r="J29" s="6">
        <v>193.56</v>
      </c>
      <c r="K29" s="6">
        <v>206.76</v>
      </c>
      <c r="L29" s="6">
        <v>219.92</v>
      </c>
      <c r="M29" s="6">
        <v>233.04</v>
      </c>
      <c r="N29" s="6">
        <v>246.11</v>
      </c>
      <c r="O29" s="6">
        <v>259.14999999999998</v>
      </c>
      <c r="P29" s="6">
        <v>272.14999999999998</v>
      </c>
      <c r="Q29" s="6">
        <v>285.10000000000002</v>
      </c>
      <c r="R29" s="6">
        <v>298.02</v>
      </c>
      <c r="S29" s="6">
        <v>310.89999999999998</v>
      </c>
      <c r="T29" s="6">
        <v>323.74</v>
      </c>
      <c r="U29" s="6">
        <v>336.54</v>
      </c>
      <c r="V29" s="6">
        <v>349.31</v>
      </c>
      <c r="W29" s="6">
        <v>362.04</v>
      </c>
      <c r="X29" s="6">
        <v>374.73</v>
      </c>
      <c r="Y29" s="6">
        <v>387.38</v>
      </c>
      <c r="Z29" s="6">
        <v>400</v>
      </c>
    </row>
    <row r="30" spans="1:26">
      <c r="A30" t="s">
        <v>772</v>
      </c>
      <c r="B30" t="s">
        <v>102</v>
      </c>
    </row>
    <row r="31" spans="1:26">
      <c r="A31" t="s">
        <v>773</v>
      </c>
      <c r="B31" t="s">
        <v>774</v>
      </c>
    </row>
    <row r="32" spans="1:26">
      <c r="A32" t="s">
        <v>775</v>
      </c>
      <c r="B32" t="s">
        <v>776</v>
      </c>
    </row>
    <row r="33" spans="1:26">
      <c r="A33" t="s">
        <v>777</v>
      </c>
      <c r="B33" t="s">
        <v>778</v>
      </c>
    </row>
    <row r="34" spans="1:26">
      <c r="A34" t="s">
        <v>779</v>
      </c>
      <c r="B34" t="s">
        <v>780</v>
      </c>
    </row>
    <row r="35" spans="1:26">
      <c r="A35" t="s">
        <v>781</v>
      </c>
    </row>
    <row r="36" spans="1:26" s="6" customFormat="1">
      <c r="A36" s="6" t="s">
        <v>782</v>
      </c>
      <c r="B36" s="6" t="s">
        <v>783</v>
      </c>
      <c r="C36" s="6">
        <v>0</v>
      </c>
      <c r="D36" s="6">
        <v>15.2</v>
      </c>
      <c r="E36" s="6">
        <v>30.3</v>
      </c>
      <c r="F36" s="6">
        <v>45.5</v>
      </c>
      <c r="G36" s="6">
        <v>60.7</v>
      </c>
      <c r="H36" s="6">
        <v>75.8</v>
      </c>
      <c r="I36" s="6">
        <v>91</v>
      </c>
      <c r="J36" s="6">
        <v>106.2</v>
      </c>
      <c r="K36" s="6">
        <v>121.3</v>
      </c>
      <c r="L36" s="6">
        <v>136.5</v>
      </c>
      <c r="M36" s="6">
        <v>151.6</v>
      </c>
      <c r="N36" s="6">
        <v>166.8</v>
      </c>
      <c r="O36" s="6">
        <v>182</v>
      </c>
      <c r="P36" s="6">
        <v>197.1</v>
      </c>
      <c r="Q36" s="6">
        <v>212.3</v>
      </c>
      <c r="R36" s="6">
        <v>227.5</v>
      </c>
      <c r="S36" s="6">
        <v>242.6</v>
      </c>
      <c r="T36" s="6">
        <v>257.8</v>
      </c>
      <c r="U36" s="6">
        <v>273</v>
      </c>
      <c r="V36" s="6">
        <v>288.10000000000002</v>
      </c>
      <c r="W36" s="6">
        <v>303.3</v>
      </c>
      <c r="X36" s="6">
        <v>318.5</v>
      </c>
      <c r="Y36" s="6">
        <v>333.6</v>
      </c>
      <c r="Z36" s="6">
        <v>348.8</v>
      </c>
    </row>
    <row r="37" spans="1:26" s="6" customFormat="1">
      <c r="A37" s="6" t="s">
        <v>784</v>
      </c>
      <c r="C37" s="6">
        <v>1</v>
      </c>
      <c r="D37" s="6">
        <v>1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187">
        <v>1</v>
      </c>
      <c r="W37" s="187">
        <v>1</v>
      </c>
      <c r="X37" s="187">
        <v>1</v>
      </c>
      <c r="Y37" s="187">
        <v>1</v>
      </c>
      <c r="Z37" s="187">
        <v>1</v>
      </c>
    </row>
    <row r="38" spans="1:26">
      <c r="A38" t="s">
        <v>785</v>
      </c>
      <c r="B38" t="s">
        <v>102</v>
      </c>
      <c r="C38">
        <v>0.91</v>
      </c>
      <c r="D38">
        <v>0.88</v>
      </c>
      <c r="E38">
        <v>0.85</v>
      </c>
      <c r="F38">
        <v>0.82</v>
      </c>
      <c r="G38">
        <v>0.79</v>
      </c>
      <c r="H38">
        <v>0.77</v>
      </c>
      <c r="I38">
        <v>0.75</v>
      </c>
      <c r="J38">
        <v>0.73</v>
      </c>
      <c r="K38">
        <v>0.71</v>
      </c>
      <c r="L38">
        <v>0.69</v>
      </c>
      <c r="M38">
        <v>0.67</v>
      </c>
      <c r="N38">
        <v>0.65</v>
      </c>
      <c r="O38">
        <v>0.64</v>
      </c>
      <c r="P38">
        <v>0.62</v>
      </c>
      <c r="Q38">
        <v>0.61</v>
      </c>
      <c r="R38">
        <v>0.59</v>
      </c>
      <c r="S38">
        <v>0.57999999999999996</v>
      </c>
      <c r="T38">
        <v>0.56999999999999995</v>
      </c>
      <c r="U38">
        <v>0.56000000000000005</v>
      </c>
      <c r="V38">
        <v>0.54</v>
      </c>
      <c r="W38">
        <v>0.53</v>
      </c>
      <c r="X38">
        <v>0.52</v>
      </c>
      <c r="Y38">
        <v>0.51</v>
      </c>
      <c r="Z38">
        <v>0.5</v>
      </c>
    </row>
    <row r="39" spans="1:26">
      <c r="A39" t="s">
        <v>786</v>
      </c>
      <c r="B39" t="s">
        <v>774</v>
      </c>
      <c r="C39">
        <v>1.1220000000000001</v>
      </c>
      <c r="D39">
        <v>1.125</v>
      </c>
      <c r="E39">
        <v>1.129</v>
      </c>
      <c r="F39">
        <v>1.1319999999999999</v>
      </c>
      <c r="G39">
        <v>1.1359999999999999</v>
      </c>
      <c r="H39">
        <v>1.1399999999999999</v>
      </c>
      <c r="I39">
        <v>1.143</v>
      </c>
      <c r="J39">
        <v>1.147</v>
      </c>
      <c r="K39">
        <v>1.1499999999999999</v>
      </c>
      <c r="L39">
        <v>1.1539999999999999</v>
      </c>
      <c r="M39">
        <v>1.1579999999999999</v>
      </c>
      <c r="N39">
        <v>1.161</v>
      </c>
      <c r="O39">
        <v>1.165</v>
      </c>
      <c r="P39">
        <v>1.1679999999999999</v>
      </c>
      <c r="Q39">
        <v>1.1719999999999999</v>
      </c>
      <c r="R39">
        <v>1.1759999999999999</v>
      </c>
      <c r="S39">
        <v>1.179</v>
      </c>
      <c r="T39">
        <v>1.1830000000000001</v>
      </c>
      <c r="U39">
        <v>1.1859999999999999</v>
      </c>
      <c r="V39">
        <v>1.19</v>
      </c>
      <c r="W39">
        <v>1.1930000000000001</v>
      </c>
      <c r="X39">
        <v>1.1970000000000001</v>
      </c>
      <c r="Y39">
        <v>1.2</v>
      </c>
      <c r="Z39">
        <v>1.2030000000000001</v>
      </c>
    </row>
    <row r="40" spans="1:26">
      <c r="A40" t="s">
        <v>787</v>
      </c>
      <c r="B40" t="s">
        <v>776</v>
      </c>
      <c r="C40">
        <v>1.9400000000000001E-2</v>
      </c>
      <c r="D40">
        <v>0.02</v>
      </c>
      <c r="E40">
        <v>2.06E-2</v>
      </c>
      <c r="F40">
        <v>2.12E-2</v>
      </c>
      <c r="G40">
        <v>2.1700000000000001E-2</v>
      </c>
      <c r="H40">
        <v>2.2200000000000001E-2</v>
      </c>
      <c r="I40">
        <v>2.2700000000000001E-2</v>
      </c>
      <c r="J40">
        <v>2.3199999999999998E-2</v>
      </c>
      <c r="K40">
        <v>2.3699999999999999E-2</v>
      </c>
      <c r="L40">
        <v>2.4199999999999999E-2</v>
      </c>
      <c r="M40">
        <v>2.46E-2</v>
      </c>
      <c r="N40">
        <v>2.5100000000000001E-2</v>
      </c>
      <c r="O40">
        <v>2.5499999999999998E-2</v>
      </c>
      <c r="P40">
        <v>2.5999999999999999E-2</v>
      </c>
      <c r="Q40">
        <v>2.64E-2</v>
      </c>
      <c r="R40">
        <v>2.6800000000000001E-2</v>
      </c>
      <c r="S40">
        <v>2.7199999999999998E-2</v>
      </c>
      <c r="T40">
        <v>2.7699999999999999E-2</v>
      </c>
      <c r="U40">
        <v>2.81E-2</v>
      </c>
      <c r="V40">
        <v>2.8500000000000001E-2</v>
      </c>
      <c r="W40">
        <v>2.8899999999999999E-2</v>
      </c>
      <c r="X40">
        <v>2.93E-2</v>
      </c>
      <c r="Y40">
        <v>2.9700000000000001E-2</v>
      </c>
      <c r="Z40">
        <v>3.0099999999999998E-2</v>
      </c>
    </row>
    <row r="41" spans="1:26">
      <c r="A41" t="s">
        <v>788</v>
      </c>
      <c r="B41" t="s">
        <v>778</v>
      </c>
      <c r="C41">
        <v>2.9100000000000001E-2</v>
      </c>
      <c r="D41">
        <v>0.03</v>
      </c>
      <c r="E41">
        <v>3.09E-2</v>
      </c>
      <c r="F41">
        <v>3.1899999999999998E-2</v>
      </c>
      <c r="G41">
        <v>3.2800000000000003E-2</v>
      </c>
      <c r="H41">
        <v>3.3700000000000001E-2</v>
      </c>
      <c r="I41">
        <v>3.4599999999999999E-2</v>
      </c>
      <c r="J41">
        <v>3.5499999999999997E-2</v>
      </c>
      <c r="K41">
        <v>3.6400000000000002E-2</v>
      </c>
      <c r="L41">
        <v>3.73E-2</v>
      </c>
      <c r="M41">
        <v>3.8199999999999998E-2</v>
      </c>
      <c r="N41">
        <v>3.9E-2</v>
      </c>
      <c r="O41">
        <v>3.9899999999999998E-2</v>
      </c>
      <c r="P41">
        <v>4.0800000000000003E-2</v>
      </c>
      <c r="Q41">
        <v>4.1599999999999998E-2</v>
      </c>
      <c r="R41">
        <v>4.2500000000000003E-2</v>
      </c>
      <c r="S41">
        <v>4.3299999999999998E-2</v>
      </c>
      <c r="T41">
        <v>4.4200000000000003E-2</v>
      </c>
      <c r="U41">
        <v>4.4999999999999998E-2</v>
      </c>
      <c r="V41">
        <v>4.58E-2</v>
      </c>
      <c r="W41">
        <v>4.6699999999999998E-2</v>
      </c>
      <c r="X41">
        <v>4.7500000000000001E-2</v>
      </c>
      <c r="Y41">
        <v>4.8300000000000003E-2</v>
      </c>
      <c r="Z41">
        <v>4.9099999999999998E-2</v>
      </c>
    </row>
    <row r="42" spans="1:26">
      <c r="A42" t="s">
        <v>789</v>
      </c>
      <c r="C42">
        <v>27.808769999999999</v>
      </c>
      <c r="D42">
        <v>27.808769999999999</v>
      </c>
      <c r="E42">
        <v>27.808769999999999</v>
      </c>
      <c r="F42">
        <v>27.808769999999999</v>
      </c>
      <c r="G42">
        <v>27.808769999999999</v>
      </c>
      <c r="H42">
        <v>27.808769999999999</v>
      </c>
      <c r="I42">
        <v>27.808769999999999</v>
      </c>
      <c r="J42">
        <v>27.808769999999999</v>
      </c>
      <c r="K42">
        <v>27.808769999999999</v>
      </c>
      <c r="L42">
        <v>27.808769999999999</v>
      </c>
      <c r="M42">
        <v>27.808769999999999</v>
      </c>
      <c r="N42">
        <v>27.808769999999999</v>
      </c>
      <c r="O42">
        <v>27.808769999999999</v>
      </c>
      <c r="P42">
        <v>27.808769999999999</v>
      </c>
      <c r="Q42">
        <v>27.808769999999999</v>
      </c>
      <c r="R42">
        <v>27.808769999999999</v>
      </c>
      <c r="S42">
        <v>27.808769999999999</v>
      </c>
      <c r="T42">
        <v>27.808769999999999</v>
      </c>
      <c r="U42">
        <v>27.808769999999999</v>
      </c>
      <c r="V42">
        <v>27.808769999999999</v>
      </c>
      <c r="W42">
        <v>27.808769999999999</v>
      </c>
      <c r="X42">
        <v>27.808769999999999</v>
      </c>
      <c r="Y42">
        <v>27.808769999999999</v>
      </c>
      <c r="Z42">
        <v>27.808769999999999</v>
      </c>
    </row>
    <row r="43" spans="1:26" s="6" customFormat="1">
      <c r="A43" s="6" t="s">
        <v>790</v>
      </c>
    </row>
    <row r="44" spans="1:26">
      <c r="A44" t="s">
        <v>772</v>
      </c>
      <c r="B44" t="s">
        <v>102</v>
      </c>
    </row>
    <row r="45" spans="1:26">
      <c r="A45" t="s">
        <v>791</v>
      </c>
      <c r="B45" t="s">
        <v>774</v>
      </c>
    </row>
    <row r="46" spans="1:26">
      <c r="A46" t="s">
        <v>792</v>
      </c>
      <c r="B46" t="s">
        <v>776</v>
      </c>
    </row>
    <row r="47" spans="1:26">
      <c r="A47" t="s">
        <v>793</v>
      </c>
      <c r="B47" t="s">
        <v>778</v>
      </c>
    </row>
    <row r="48" spans="1:26">
      <c r="A48" t="s">
        <v>794</v>
      </c>
      <c r="B48" t="s">
        <v>780</v>
      </c>
    </row>
    <row r="49" spans="1:26">
      <c r="A49" t="s">
        <v>795</v>
      </c>
    </row>
    <row r="51" spans="1:26">
      <c r="A51" s="17" t="s">
        <v>797</v>
      </c>
      <c r="B51" t="s">
        <v>770</v>
      </c>
      <c r="C51" s="102">
        <v>0.10100000000000001</v>
      </c>
    </row>
    <row r="53" spans="1:26" s="6" customFormat="1">
      <c r="A53" s="6" t="s">
        <v>771</v>
      </c>
      <c r="B53" s="6" t="s">
        <v>98</v>
      </c>
      <c r="C53" s="6">
        <v>100</v>
      </c>
      <c r="D53" s="6">
        <v>113.49</v>
      </c>
      <c r="E53" s="6">
        <v>126.94</v>
      </c>
      <c r="F53" s="6">
        <v>140.35</v>
      </c>
      <c r="G53" s="6">
        <v>153.72</v>
      </c>
      <c r="H53" s="6">
        <v>167.04</v>
      </c>
      <c r="I53" s="6">
        <v>180.32</v>
      </c>
      <c r="J53" s="6">
        <v>193.56</v>
      </c>
      <c r="K53" s="6">
        <v>206.76</v>
      </c>
      <c r="L53" s="6">
        <v>219.92</v>
      </c>
      <c r="M53" s="6">
        <v>233.04</v>
      </c>
      <c r="N53" s="6">
        <v>246.11</v>
      </c>
      <c r="O53" s="6">
        <v>259.14999999999998</v>
      </c>
      <c r="P53" s="6">
        <v>272.14999999999998</v>
      </c>
      <c r="Q53" s="6">
        <v>285.10000000000002</v>
      </c>
      <c r="R53" s="6">
        <v>298.02</v>
      </c>
      <c r="S53" s="6">
        <v>310.89999999999998</v>
      </c>
      <c r="T53" s="6">
        <v>323.74</v>
      </c>
      <c r="U53" s="6">
        <v>336.54</v>
      </c>
      <c r="V53" s="6">
        <v>349.31</v>
      </c>
      <c r="W53" s="6">
        <v>362.04</v>
      </c>
      <c r="X53" s="6">
        <v>374.73</v>
      </c>
      <c r="Y53" s="6">
        <v>387.38</v>
      </c>
      <c r="Z53" s="6">
        <v>400</v>
      </c>
    </row>
    <row r="54" spans="1:26">
      <c r="A54" t="s">
        <v>772</v>
      </c>
      <c r="B54" t="s">
        <v>102</v>
      </c>
    </row>
    <row r="55" spans="1:26">
      <c r="A55" t="s">
        <v>773</v>
      </c>
      <c r="B55" t="s">
        <v>774</v>
      </c>
    </row>
    <row r="56" spans="1:26">
      <c r="A56" t="s">
        <v>775</v>
      </c>
      <c r="B56" t="s">
        <v>776</v>
      </c>
    </row>
    <row r="57" spans="1:26">
      <c r="A57" t="s">
        <v>777</v>
      </c>
      <c r="B57" t="s">
        <v>778</v>
      </c>
    </row>
    <row r="58" spans="1:26">
      <c r="A58" t="s">
        <v>779</v>
      </c>
      <c r="B58" t="s">
        <v>780</v>
      </c>
    </row>
    <row r="59" spans="1:26">
      <c r="A59" t="s">
        <v>781</v>
      </c>
    </row>
    <row r="60" spans="1:26" s="6" customFormat="1">
      <c r="A60" s="6" t="s">
        <v>782</v>
      </c>
      <c r="B60" s="6" t="s">
        <v>783</v>
      </c>
      <c r="C60" s="6">
        <v>0</v>
      </c>
      <c r="D60" s="6">
        <v>15.2</v>
      </c>
      <c r="E60" s="6">
        <v>30.3</v>
      </c>
      <c r="F60" s="6">
        <v>45.5</v>
      </c>
      <c r="G60" s="6">
        <v>60.7</v>
      </c>
      <c r="H60" s="6">
        <v>75.8</v>
      </c>
      <c r="I60" s="6">
        <v>91</v>
      </c>
      <c r="J60" s="6">
        <v>106.2</v>
      </c>
      <c r="K60" s="6">
        <v>121.3</v>
      </c>
      <c r="L60" s="6">
        <v>136.5</v>
      </c>
      <c r="M60" s="6">
        <v>151.6</v>
      </c>
      <c r="N60" s="6">
        <v>166.8</v>
      </c>
      <c r="O60" s="6">
        <v>182</v>
      </c>
      <c r="P60" s="6">
        <v>197.1</v>
      </c>
      <c r="Q60" s="6">
        <v>212.3</v>
      </c>
      <c r="R60" s="6">
        <v>227.5</v>
      </c>
      <c r="S60" s="6">
        <v>242.6</v>
      </c>
      <c r="T60" s="6">
        <v>257.8</v>
      </c>
      <c r="U60" s="6">
        <v>273</v>
      </c>
      <c r="V60" s="6">
        <v>288.10000000000002</v>
      </c>
      <c r="W60" s="6">
        <v>303.3</v>
      </c>
      <c r="X60" s="6">
        <v>318.5</v>
      </c>
      <c r="Y60" s="6">
        <v>333.6</v>
      </c>
      <c r="Z60" s="6">
        <v>348.8</v>
      </c>
    </row>
    <row r="61" spans="1:26" s="6" customFormat="1">
      <c r="A61" s="6" t="s">
        <v>784</v>
      </c>
      <c r="C61" s="6">
        <v>1</v>
      </c>
      <c r="D61" s="6">
        <v>1</v>
      </c>
      <c r="E61" s="6">
        <v>1</v>
      </c>
      <c r="F61" s="6">
        <v>1</v>
      </c>
      <c r="G61" s="6">
        <v>1</v>
      </c>
      <c r="H61" s="6">
        <v>1</v>
      </c>
      <c r="I61" s="6">
        <v>1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</v>
      </c>
      <c r="V61" s="6">
        <v>1</v>
      </c>
      <c r="W61" s="6">
        <v>1</v>
      </c>
      <c r="X61" s="6">
        <v>1</v>
      </c>
      <c r="Y61" s="6">
        <v>1</v>
      </c>
      <c r="Z61" s="6">
        <v>1</v>
      </c>
    </row>
    <row r="62" spans="1:26">
      <c r="A62" t="s">
        <v>785</v>
      </c>
      <c r="B62" t="s">
        <v>102</v>
      </c>
      <c r="C62">
        <v>0.91</v>
      </c>
      <c r="D62">
        <v>0.88</v>
      </c>
      <c r="E62">
        <v>0.85</v>
      </c>
      <c r="F62">
        <v>0.82</v>
      </c>
      <c r="G62">
        <v>0.79</v>
      </c>
      <c r="H62">
        <v>0.77</v>
      </c>
      <c r="I62">
        <v>0.75</v>
      </c>
      <c r="J62">
        <v>0.73</v>
      </c>
      <c r="K62">
        <v>0.71</v>
      </c>
      <c r="L62">
        <v>0.69</v>
      </c>
      <c r="M62">
        <v>0.67</v>
      </c>
      <c r="N62">
        <v>0.65</v>
      </c>
      <c r="O62">
        <v>0.64</v>
      </c>
      <c r="P62">
        <v>0.62</v>
      </c>
      <c r="Q62">
        <v>0.61</v>
      </c>
      <c r="R62">
        <v>0.59</v>
      </c>
      <c r="S62">
        <v>0.57999999999999996</v>
      </c>
      <c r="T62">
        <v>0.56999999999999995</v>
      </c>
      <c r="U62">
        <v>0.56000000000000005</v>
      </c>
      <c r="V62">
        <v>0.54</v>
      </c>
      <c r="W62">
        <v>0.53</v>
      </c>
      <c r="X62">
        <v>0.52</v>
      </c>
      <c r="Y62">
        <v>0.51</v>
      </c>
      <c r="Z62">
        <v>0.5</v>
      </c>
    </row>
    <row r="63" spans="1:26">
      <c r="A63" t="s">
        <v>786</v>
      </c>
      <c r="B63" t="s">
        <v>774</v>
      </c>
      <c r="C63">
        <v>1.1220000000000001</v>
      </c>
      <c r="D63">
        <v>1.125</v>
      </c>
      <c r="E63">
        <v>1.129</v>
      </c>
      <c r="F63">
        <v>1.1319999999999999</v>
      </c>
      <c r="G63">
        <v>1.1359999999999999</v>
      </c>
      <c r="H63">
        <v>1.1399999999999999</v>
      </c>
      <c r="I63">
        <v>1.143</v>
      </c>
      <c r="J63">
        <v>1.147</v>
      </c>
      <c r="K63">
        <v>1.1499999999999999</v>
      </c>
      <c r="L63">
        <v>1.1539999999999999</v>
      </c>
      <c r="M63">
        <v>1.1579999999999999</v>
      </c>
      <c r="N63">
        <v>1.161</v>
      </c>
      <c r="O63">
        <v>1.165</v>
      </c>
      <c r="P63">
        <v>1.1679999999999999</v>
      </c>
      <c r="Q63">
        <v>1.1719999999999999</v>
      </c>
      <c r="R63">
        <v>1.1759999999999999</v>
      </c>
      <c r="S63">
        <v>1.179</v>
      </c>
      <c r="T63">
        <v>1.1830000000000001</v>
      </c>
      <c r="U63">
        <v>1.1859999999999999</v>
      </c>
      <c r="V63">
        <v>1.19</v>
      </c>
      <c r="W63">
        <v>1.1930000000000001</v>
      </c>
      <c r="X63">
        <v>1.1970000000000001</v>
      </c>
      <c r="Y63">
        <v>1.2</v>
      </c>
      <c r="Z63">
        <v>1.2030000000000001</v>
      </c>
    </row>
    <row r="64" spans="1:26">
      <c r="A64" t="s">
        <v>787</v>
      </c>
      <c r="B64" t="s">
        <v>776</v>
      </c>
      <c r="C64">
        <v>1.9400000000000001E-2</v>
      </c>
      <c r="D64">
        <v>0.02</v>
      </c>
      <c r="E64">
        <v>2.06E-2</v>
      </c>
      <c r="F64">
        <v>2.12E-2</v>
      </c>
      <c r="G64">
        <v>2.1700000000000001E-2</v>
      </c>
      <c r="H64">
        <v>2.2200000000000001E-2</v>
      </c>
      <c r="I64">
        <v>2.2700000000000001E-2</v>
      </c>
      <c r="J64">
        <v>2.3199999999999998E-2</v>
      </c>
      <c r="K64">
        <v>2.3699999999999999E-2</v>
      </c>
      <c r="L64">
        <v>2.4199999999999999E-2</v>
      </c>
      <c r="M64">
        <v>2.46E-2</v>
      </c>
      <c r="N64">
        <v>2.5100000000000001E-2</v>
      </c>
      <c r="O64">
        <v>2.5499999999999998E-2</v>
      </c>
      <c r="P64">
        <v>2.5999999999999999E-2</v>
      </c>
      <c r="Q64">
        <v>2.64E-2</v>
      </c>
      <c r="R64">
        <v>2.6800000000000001E-2</v>
      </c>
      <c r="S64">
        <v>2.7199999999999998E-2</v>
      </c>
      <c r="T64">
        <v>2.7699999999999999E-2</v>
      </c>
      <c r="U64">
        <v>2.81E-2</v>
      </c>
      <c r="V64">
        <v>2.8500000000000001E-2</v>
      </c>
      <c r="W64">
        <v>2.8899999999999999E-2</v>
      </c>
      <c r="X64">
        <v>2.93E-2</v>
      </c>
      <c r="Y64">
        <v>2.9700000000000001E-2</v>
      </c>
      <c r="Z64">
        <v>3.0099999999999998E-2</v>
      </c>
    </row>
    <row r="65" spans="1:26">
      <c r="A65" t="s">
        <v>788</v>
      </c>
      <c r="B65" t="s">
        <v>778</v>
      </c>
      <c r="C65">
        <v>2.9100000000000001E-2</v>
      </c>
      <c r="D65">
        <v>0.03</v>
      </c>
      <c r="E65">
        <v>3.09E-2</v>
      </c>
      <c r="F65">
        <v>3.1899999999999998E-2</v>
      </c>
      <c r="G65">
        <v>3.2800000000000003E-2</v>
      </c>
      <c r="H65">
        <v>3.3700000000000001E-2</v>
      </c>
      <c r="I65">
        <v>3.4599999999999999E-2</v>
      </c>
      <c r="J65">
        <v>3.5499999999999997E-2</v>
      </c>
      <c r="K65">
        <v>3.6400000000000002E-2</v>
      </c>
      <c r="L65">
        <v>3.73E-2</v>
      </c>
      <c r="M65">
        <v>3.8199999999999998E-2</v>
      </c>
      <c r="N65">
        <v>3.9E-2</v>
      </c>
      <c r="O65">
        <v>3.9899999999999998E-2</v>
      </c>
      <c r="P65">
        <v>4.0800000000000003E-2</v>
      </c>
      <c r="Q65">
        <v>4.1599999999999998E-2</v>
      </c>
      <c r="R65">
        <v>4.2500000000000003E-2</v>
      </c>
      <c r="S65">
        <v>4.3299999999999998E-2</v>
      </c>
      <c r="T65">
        <v>4.4200000000000003E-2</v>
      </c>
      <c r="U65">
        <v>4.4999999999999998E-2</v>
      </c>
      <c r="V65">
        <v>4.58E-2</v>
      </c>
      <c r="W65">
        <v>4.6699999999999998E-2</v>
      </c>
      <c r="X65">
        <v>4.7500000000000001E-2</v>
      </c>
      <c r="Y65">
        <v>4.8300000000000003E-2</v>
      </c>
      <c r="Z65">
        <v>4.9099999999999998E-2</v>
      </c>
    </row>
    <row r="66" spans="1:26">
      <c r="A66" t="s">
        <v>789</v>
      </c>
      <c r="C66">
        <v>27.808769999999999</v>
      </c>
      <c r="D66">
        <v>27.808769999999999</v>
      </c>
      <c r="E66">
        <v>27.808769999999999</v>
      </c>
      <c r="F66">
        <v>27.808769999999999</v>
      </c>
      <c r="G66">
        <v>27.808769999999999</v>
      </c>
      <c r="H66">
        <v>27.808769999999999</v>
      </c>
      <c r="I66">
        <v>27.808769999999999</v>
      </c>
      <c r="J66">
        <v>27.808769999999999</v>
      </c>
      <c r="K66">
        <v>27.808769999999999</v>
      </c>
      <c r="L66">
        <v>27.808769999999999</v>
      </c>
      <c r="M66">
        <v>27.808769999999999</v>
      </c>
      <c r="N66">
        <v>27.808769999999999</v>
      </c>
      <c r="O66">
        <v>27.808769999999999</v>
      </c>
      <c r="P66">
        <v>27.808769999999999</v>
      </c>
      <c r="Q66">
        <v>27.808769999999999</v>
      </c>
      <c r="R66">
        <v>27.808769999999999</v>
      </c>
      <c r="S66">
        <v>27.808769999999999</v>
      </c>
      <c r="T66">
        <v>27.808769999999999</v>
      </c>
      <c r="U66">
        <v>27.808769999999999</v>
      </c>
      <c r="V66">
        <v>27.808769999999999</v>
      </c>
      <c r="W66">
        <v>27.808769999999999</v>
      </c>
      <c r="X66">
        <v>27.808769999999999</v>
      </c>
      <c r="Y66">
        <v>27.808769999999999</v>
      </c>
      <c r="Z66">
        <v>27.808769999999999</v>
      </c>
    </row>
    <row r="67" spans="1:26" s="6" customFormat="1">
      <c r="A67" s="6" t="s">
        <v>790</v>
      </c>
    </row>
    <row r="68" spans="1:26">
      <c r="A68" t="s">
        <v>772</v>
      </c>
      <c r="B68" t="s">
        <v>102</v>
      </c>
    </row>
    <row r="69" spans="1:26">
      <c r="A69" t="s">
        <v>791</v>
      </c>
      <c r="B69" t="s">
        <v>774</v>
      </c>
    </row>
    <row r="70" spans="1:26">
      <c r="A70" t="s">
        <v>792</v>
      </c>
      <c r="B70" t="s">
        <v>776</v>
      </c>
    </row>
    <row r="71" spans="1:26">
      <c r="A71" t="s">
        <v>793</v>
      </c>
      <c r="B71" t="s">
        <v>778</v>
      </c>
    </row>
    <row r="72" spans="1:26">
      <c r="A72" t="s">
        <v>794</v>
      </c>
      <c r="B72" t="s">
        <v>780</v>
      </c>
    </row>
    <row r="73" spans="1:26">
      <c r="A73" t="s">
        <v>795</v>
      </c>
    </row>
    <row r="78" spans="1:26">
      <c r="A78" t="s">
        <v>918</v>
      </c>
      <c r="B78" t="s">
        <v>770</v>
      </c>
      <c r="C78">
        <v>0.10100000000000001</v>
      </c>
    </row>
    <row r="79" spans="1:26">
      <c r="A79" t="s">
        <v>919</v>
      </c>
      <c r="B79" t="s">
        <v>125</v>
      </c>
      <c r="C79">
        <v>229.9</v>
      </c>
    </row>
    <row r="80" spans="1:26">
      <c r="A80" t="s">
        <v>921</v>
      </c>
      <c r="B80" t="s">
        <v>207</v>
      </c>
      <c r="C80">
        <f>f_b_000_Interpolate2D(C78,C79,C85:E85,C86:Z88,C89:Z91)</f>
        <v>0</v>
      </c>
    </row>
    <row r="83" spans="1:26">
      <c r="A83" s="6" t="s">
        <v>920</v>
      </c>
    </row>
    <row r="85" spans="1:26">
      <c r="A85" s="6" t="s">
        <v>918</v>
      </c>
      <c r="B85" t="s">
        <v>770</v>
      </c>
      <c r="C85" s="188">
        <f>C3</f>
        <v>0.10100000000000001</v>
      </c>
      <c r="D85" s="188">
        <f>C27</f>
        <v>0.10100000000000001</v>
      </c>
      <c r="E85" s="188">
        <f>C51</f>
        <v>0.10100000000000001</v>
      </c>
      <c r="F85" s="188"/>
      <c r="G85" s="188"/>
      <c r="H85" s="188"/>
      <c r="I85" s="188"/>
      <c r="J85" s="188"/>
      <c r="K85" s="188"/>
      <c r="L85" s="188"/>
      <c r="M85" s="188"/>
      <c r="N85" s="188"/>
      <c r="O85" s="188"/>
      <c r="P85" s="188"/>
      <c r="Q85" s="188"/>
      <c r="R85" s="188"/>
      <c r="S85" s="188"/>
      <c r="T85" s="188"/>
      <c r="U85" s="188"/>
      <c r="V85" s="188"/>
      <c r="W85" s="188"/>
      <c r="X85" s="188"/>
      <c r="Y85" s="188"/>
      <c r="Z85" s="188"/>
    </row>
    <row r="86" spans="1:26">
      <c r="A86" s="43" t="s">
        <v>771</v>
      </c>
      <c r="B86" s="6" t="s">
        <v>98</v>
      </c>
      <c r="C86" s="188">
        <f>C5</f>
        <v>100</v>
      </c>
      <c r="D86" s="188">
        <f t="shared" ref="D86:Z86" si="0">D5</f>
        <v>113.49</v>
      </c>
      <c r="E86" s="188">
        <f t="shared" si="0"/>
        <v>126.94</v>
      </c>
      <c r="F86" s="188">
        <f t="shared" si="0"/>
        <v>140.35</v>
      </c>
      <c r="G86" s="188">
        <f t="shared" si="0"/>
        <v>153.72</v>
      </c>
      <c r="H86" s="188">
        <f t="shared" si="0"/>
        <v>167.04</v>
      </c>
      <c r="I86" s="188">
        <f t="shared" si="0"/>
        <v>180.32</v>
      </c>
      <c r="J86" s="188">
        <f t="shared" si="0"/>
        <v>193.56</v>
      </c>
      <c r="K86" s="188">
        <f t="shared" si="0"/>
        <v>206.76</v>
      </c>
      <c r="L86" s="188">
        <f t="shared" si="0"/>
        <v>219.92</v>
      </c>
      <c r="M86" s="188">
        <f t="shared" si="0"/>
        <v>233.04</v>
      </c>
      <c r="N86" s="188">
        <f t="shared" si="0"/>
        <v>246.11</v>
      </c>
      <c r="O86" s="188">
        <f t="shared" si="0"/>
        <v>259.14999999999998</v>
      </c>
      <c r="P86" s="188">
        <f t="shared" si="0"/>
        <v>272.14999999999998</v>
      </c>
      <c r="Q86" s="188">
        <f t="shared" si="0"/>
        <v>285.10000000000002</v>
      </c>
      <c r="R86" s="188">
        <f t="shared" si="0"/>
        <v>298.02</v>
      </c>
      <c r="S86" s="188">
        <f t="shared" si="0"/>
        <v>310.89999999999998</v>
      </c>
      <c r="T86" s="188">
        <f t="shared" si="0"/>
        <v>323.74</v>
      </c>
      <c r="U86" s="188">
        <f t="shared" si="0"/>
        <v>336.54</v>
      </c>
      <c r="V86" s="188">
        <f t="shared" si="0"/>
        <v>349.31</v>
      </c>
      <c r="W86" s="188">
        <f t="shared" si="0"/>
        <v>362.04</v>
      </c>
      <c r="X86" s="188">
        <f t="shared" si="0"/>
        <v>374.73</v>
      </c>
      <c r="Y86" s="188">
        <f t="shared" si="0"/>
        <v>387.38</v>
      </c>
      <c r="Z86" s="188">
        <f t="shared" si="0"/>
        <v>400</v>
      </c>
    </row>
    <row r="87" spans="1:26">
      <c r="A87" s="43"/>
      <c r="B87" s="6"/>
      <c r="C87" s="188">
        <f>C29</f>
        <v>100</v>
      </c>
      <c r="D87" s="188">
        <f t="shared" ref="D87:Z87" si="1">D29</f>
        <v>113.49</v>
      </c>
      <c r="E87" s="188">
        <f t="shared" si="1"/>
        <v>126.94</v>
      </c>
      <c r="F87" s="188">
        <f t="shared" si="1"/>
        <v>140.35</v>
      </c>
      <c r="G87" s="188">
        <f t="shared" si="1"/>
        <v>153.72</v>
      </c>
      <c r="H87" s="188">
        <f t="shared" si="1"/>
        <v>167.04</v>
      </c>
      <c r="I87" s="188">
        <f t="shared" si="1"/>
        <v>180.32</v>
      </c>
      <c r="J87" s="188">
        <f t="shared" si="1"/>
        <v>193.56</v>
      </c>
      <c r="K87" s="188">
        <f t="shared" si="1"/>
        <v>206.76</v>
      </c>
      <c r="L87" s="188">
        <f t="shared" si="1"/>
        <v>219.92</v>
      </c>
      <c r="M87" s="188">
        <f t="shared" si="1"/>
        <v>233.04</v>
      </c>
      <c r="N87" s="188">
        <f t="shared" si="1"/>
        <v>246.11</v>
      </c>
      <c r="O87" s="188">
        <f t="shared" si="1"/>
        <v>259.14999999999998</v>
      </c>
      <c r="P87" s="188">
        <f t="shared" si="1"/>
        <v>272.14999999999998</v>
      </c>
      <c r="Q87" s="188">
        <f t="shared" si="1"/>
        <v>285.10000000000002</v>
      </c>
      <c r="R87" s="188">
        <f t="shared" si="1"/>
        <v>298.02</v>
      </c>
      <c r="S87" s="188">
        <f t="shared" si="1"/>
        <v>310.89999999999998</v>
      </c>
      <c r="T87" s="188">
        <f t="shared" si="1"/>
        <v>323.74</v>
      </c>
      <c r="U87" s="188">
        <f t="shared" si="1"/>
        <v>336.54</v>
      </c>
      <c r="V87" s="188">
        <f t="shared" si="1"/>
        <v>349.31</v>
      </c>
      <c r="W87" s="188">
        <f t="shared" si="1"/>
        <v>362.04</v>
      </c>
      <c r="X87" s="188">
        <f t="shared" si="1"/>
        <v>374.73</v>
      </c>
      <c r="Y87" s="188">
        <f t="shared" si="1"/>
        <v>387.38</v>
      </c>
      <c r="Z87" s="188">
        <f t="shared" si="1"/>
        <v>400</v>
      </c>
    </row>
    <row r="88" spans="1:26">
      <c r="A88" s="43"/>
      <c r="B88" s="6"/>
      <c r="C88" s="188">
        <f>C53</f>
        <v>100</v>
      </c>
      <c r="D88" s="188">
        <f t="shared" ref="D88:Z88" si="2">D53</f>
        <v>113.49</v>
      </c>
      <c r="E88" s="188">
        <f t="shared" si="2"/>
        <v>126.94</v>
      </c>
      <c r="F88" s="188">
        <f t="shared" si="2"/>
        <v>140.35</v>
      </c>
      <c r="G88" s="188">
        <f t="shared" si="2"/>
        <v>153.72</v>
      </c>
      <c r="H88" s="188">
        <f t="shared" si="2"/>
        <v>167.04</v>
      </c>
      <c r="I88" s="188">
        <f t="shared" si="2"/>
        <v>180.32</v>
      </c>
      <c r="J88" s="188">
        <f t="shared" si="2"/>
        <v>193.56</v>
      </c>
      <c r="K88" s="188">
        <f t="shared" si="2"/>
        <v>206.76</v>
      </c>
      <c r="L88" s="188">
        <f t="shared" si="2"/>
        <v>219.92</v>
      </c>
      <c r="M88" s="188">
        <f t="shared" si="2"/>
        <v>233.04</v>
      </c>
      <c r="N88" s="188">
        <f t="shared" si="2"/>
        <v>246.11</v>
      </c>
      <c r="O88" s="188">
        <f t="shared" si="2"/>
        <v>259.14999999999998</v>
      </c>
      <c r="P88" s="188">
        <f t="shared" si="2"/>
        <v>272.14999999999998</v>
      </c>
      <c r="Q88" s="188">
        <f t="shared" si="2"/>
        <v>285.10000000000002</v>
      </c>
      <c r="R88" s="188">
        <f t="shared" si="2"/>
        <v>298.02</v>
      </c>
      <c r="S88" s="188">
        <f t="shared" si="2"/>
        <v>310.89999999999998</v>
      </c>
      <c r="T88" s="188">
        <f t="shared" si="2"/>
        <v>323.74</v>
      </c>
      <c r="U88" s="188">
        <f t="shared" si="2"/>
        <v>336.54</v>
      </c>
      <c r="V88" s="188">
        <f t="shared" si="2"/>
        <v>349.31</v>
      </c>
      <c r="W88" s="188">
        <f t="shared" si="2"/>
        <v>362.04</v>
      </c>
      <c r="X88" s="188">
        <f t="shared" si="2"/>
        <v>374.73</v>
      </c>
      <c r="Y88" s="188">
        <f t="shared" si="2"/>
        <v>387.38</v>
      </c>
      <c r="Z88" s="188">
        <f t="shared" si="2"/>
        <v>400</v>
      </c>
    </row>
    <row r="89" spans="1:26">
      <c r="A89" t="s">
        <v>772</v>
      </c>
      <c r="B89" t="s">
        <v>102</v>
      </c>
      <c r="C89" s="188">
        <f>C6</f>
        <v>0</v>
      </c>
      <c r="D89" s="188">
        <f t="shared" ref="D89:Z89" si="3">D6</f>
        <v>0</v>
      </c>
      <c r="E89" s="188">
        <f t="shared" si="3"/>
        <v>0</v>
      </c>
      <c r="F89" s="188">
        <f t="shared" si="3"/>
        <v>0</v>
      </c>
      <c r="G89" s="188">
        <f t="shared" si="3"/>
        <v>0</v>
      </c>
      <c r="H89" s="188">
        <f t="shared" si="3"/>
        <v>0</v>
      </c>
      <c r="I89" s="188">
        <f t="shared" si="3"/>
        <v>0</v>
      </c>
      <c r="J89" s="188">
        <f t="shared" si="3"/>
        <v>0</v>
      </c>
      <c r="K89" s="188">
        <f t="shared" si="3"/>
        <v>0</v>
      </c>
      <c r="L89" s="188">
        <f t="shared" si="3"/>
        <v>0</v>
      </c>
      <c r="M89" s="188">
        <f t="shared" si="3"/>
        <v>0</v>
      </c>
      <c r="N89" s="188">
        <f t="shared" si="3"/>
        <v>0</v>
      </c>
      <c r="O89" s="188">
        <f t="shared" si="3"/>
        <v>0</v>
      </c>
      <c r="P89" s="188">
        <f t="shared" si="3"/>
        <v>0</v>
      </c>
      <c r="Q89" s="188">
        <f t="shared" si="3"/>
        <v>0</v>
      </c>
      <c r="R89" s="188">
        <f t="shared" si="3"/>
        <v>0</v>
      </c>
      <c r="S89" s="188">
        <f t="shared" si="3"/>
        <v>0</v>
      </c>
      <c r="T89" s="188">
        <f t="shared" si="3"/>
        <v>0</v>
      </c>
      <c r="U89" s="188">
        <f t="shared" si="3"/>
        <v>0</v>
      </c>
      <c r="V89" s="188">
        <f t="shared" si="3"/>
        <v>0</v>
      </c>
      <c r="W89" s="188">
        <f t="shared" si="3"/>
        <v>0</v>
      </c>
      <c r="X89" s="188">
        <f t="shared" si="3"/>
        <v>0</v>
      </c>
      <c r="Y89" s="188">
        <f t="shared" si="3"/>
        <v>0</v>
      </c>
      <c r="Z89" s="188">
        <f t="shared" si="3"/>
        <v>0</v>
      </c>
    </row>
    <row r="90" spans="1:26">
      <c r="C90" s="188">
        <f>C30</f>
        <v>0</v>
      </c>
      <c r="D90" s="188">
        <f t="shared" ref="D90:Z90" si="4">D30</f>
        <v>0</v>
      </c>
      <c r="E90" s="188">
        <f t="shared" si="4"/>
        <v>0</v>
      </c>
      <c r="F90" s="188">
        <f t="shared" si="4"/>
        <v>0</v>
      </c>
      <c r="G90" s="188">
        <f t="shared" si="4"/>
        <v>0</v>
      </c>
      <c r="H90" s="188">
        <f t="shared" si="4"/>
        <v>0</v>
      </c>
      <c r="I90" s="188">
        <f t="shared" si="4"/>
        <v>0</v>
      </c>
      <c r="J90" s="188">
        <f t="shared" si="4"/>
        <v>0</v>
      </c>
      <c r="K90" s="188">
        <f t="shared" si="4"/>
        <v>0</v>
      </c>
      <c r="L90" s="188">
        <f t="shared" si="4"/>
        <v>0</v>
      </c>
      <c r="M90" s="188">
        <f t="shared" si="4"/>
        <v>0</v>
      </c>
      <c r="N90" s="188">
        <f t="shared" si="4"/>
        <v>0</v>
      </c>
      <c r="O90" s="188">
        <f t="shared" si="4"/>
        <v>0</v>
      </c>
      <c r="P90" s="188">
        <f t="shared" si="4"/>
        <v>0</v>
      </c>
      <c r="Q90" s="188">
        <f t="shared" si="4"/>
        <v>0</v>
      </c>
      <c r="R90" s="188">
        <f t="shared" si="4"/>
        <v>0</v>
      </c>
      <c r="S90" s="188">
        <f t="shared" si="4"/>
        <v>0</v>
      </c>
      <c r="T90" s="188">
        <f t="shared" si="4"/>
        <v>0</v>
      </c>
      <c r="U90" s="188">
        <f t="shared" si="4"/>
        <v>0</v>
      </c>
      <c r="V90" s="188">
        <f t="shared" si="4"/>
        <v>0</v>
      </c>
      <c r="W90" s="188">
        <f t="shared" si="4"/>
        <v>0</v>
      </c>
      <c r="X90" s="188">
        <f t="shared" si="4"/>
        <v>0</v>
      </c>
      <c r="Y90" s="188">
        <f t="shared" si="4"/>
        <v>0</v>
      </c>
      <c r="Z90" s="188">
        <f t="shared" si="4"/>
        <v>0</v>
      </c>
    </row>
    <row r="91" spans="1:26">
      <c r="C91" s="188">
        <f>C54</f>
        <v>0</v>
      </c>
      <c r="D91" s="188">
        <f t="shared" ref="D91:Z91" si="5">D54</f>
        <v>0</v>
      </c>
      <c r="E91" s="188">
        <f t="shared" si="5"/>
        <v>0</v>
      </c>
      <c r="F91" s="188">
        <f t="shared" si="5"/>
        <v>0</v>
      </c>
      <c r="G91" s="188">
        <f t="shared" si="5"/>
        <v>0</v>
      </c>
      <c r="H91" s="188">
        <f t="shared" si="5"/>
        <v>0</v>
      </c>
      <c r="I91" s="188">
        <f t="shared" si="5"/>
        <v>0</v>
      </c>
      <c r="J91" s="188">
        <f t="shared" si="5"/>
        <v>0</v>
      </c>
      <c r="K91" s="188">
        <f t="shared" si="5"/>
        <v>0</v>
      </c>
      <c r="L91" s="188">
        <f t="shared" si="5"/>
        <v>0</v>
      </c>
      <c r="M91" s="188">
        <f t="shared" si="5"/>
        <v>0</v>
      </c>
      <c r="N91" s="188">
        <f t="shared" si="5"/>
        <v>0</v>
      </c>
      <c r="O91" s="188">
        <f t="shared" si="5"/>
        <v>0</v>
      </c>
      <c r="P91" s="188">
        <f t="shared" si="5"/>
        <v>0</v>
      </c>
      <c r="Q91" s="188">
        <f t="shared" si="5"/>
        <v>0</v>
      </c>
      <c r="R91" s="188">
        <f t="shared" si="5"/>
        <v>0</v>
      </c>
      <c r="S91" s="188">
        <f t="shared" si="5"/>
        <v>0</v>
      </c>
      <c r="T91" s="188">
        <f t="shared" si="5"/>
        <v>0</v>
      </c>
      <c r="U91" s="188">
        <f t="shared" si="5"/>
        <v>0</v>
      </c>
      <c r="V91" s="188">
        <f t="shared" si="5"/>
        <v>0</v>
      </c>
      <c r="W91" s="188">
        <f t="shared" si="5"/>
        <v>0</v>
      </c>
      <c r="X91" s="188">
        <f t="shared" si="5"/>
        <v>0</v>
      </c>
      <c r="Y91" s="188">
        <f t="shared" si="5"/>
        <v>0</v>
      </c>
      <c r="Z91" s="188">
        <f t="shared" si="5"/>
        <v>0</v>
      </c>
    </row>
    <row r="92" spans="1:26">
      <c r="A92" t="s">
        <v>773</v>
      </c>
      <c r="B92" t="s">
        <v>774</v>
      </c>
      <c r="C92" s="188">
        <f>C7</f>
        <v>0</v>
      </c>
      <c r="D92" s="188">
        <f t="shared" ref="D92:Z92" si="6">D7</f>
        <v>0</v>
      </c>
      <c r="E92" s="188">
        <f t="shared" si="6"/>
        <v>0</v>
      </c>
      <c r="F92" s="188">
        <f t="shared" si="6"/>
        <v>0</v>
      </c>
      <c r="G92" s="188">
        <f t="shared" si="6"/>
        <v>0</v>
      </c>
      <c r="H92" s="188">
        <f t="shared" si="6"/>
        <v>0</v>
      </c>
      <c r="I92" s="188">
        <f t="shared" si="6"/>
        <v>0</v>
      </c>
      <c r="J92" s="188">
        <f t="shared" si="6"/>
        <v>0</v>
      </c>
      <c r="K92" s="188">
        <f t="shared" si="6"/>
        <v>0</v>
      </c>
      <c r="L92" s="188">
        <f t="shared" si="6"/>
        <v>0</v>
      </c>
      <c r="M92" s="188">
        <f t="shared" si="6"/>
        <v>0</v>
      </c>
      <c r="N92" s="188">
        <f t="shared" si="6"/>
        <v>0</v>
      </c>
      <c r="O92" s="188">
        <f t="shared" si="6"/>
        <v>0</v>
      </c>
      <c r="P92" s="188">
        <f t="shared" si="6"/>
        <v>0</v>
      </c>
      <c r="Q92" s="188">
        <f t="shared" si="6"/>
        <v>0</v>
      </c>
      <c r="R92" s="188">
        <f t="shared" si="6"/>
        <v>0</v>
      </c>
      <c r="S92" s="188">
        <f t="shared" si="6"/>
        <v>0</v>
      </c>
      <c r="T92" s="188">
        <f t="shared" si="6"/>
        <v>0</v>
      </c>
      <c r="U92" s="188">
        <f t="shared" si="6"/>
        <v>0</v>
      </c>
      <c r="V92" s="188">
        <f t="shared" si="6"/>
        <v>0</v>
      </c>
      <c r="W92" s="188">
        <f t="shared" si="6"/>
        <v>0</v>
      </c>
      <c r="X92" s="188">
        <f t="shared" si="6"/>
        <v>0</v>
      </c>
      <c r="Y92" s="188">
        <f t="shared" si="6"/>
        <v>0</v>
      </c>
      <c r="Z92" s="188">
        <f t="shared" si="6"/>
        <v>0</v>
      </c>
    </row>
    <row r="93" spans="1:26">
      <c r="C93" s="188">
        <f>C31</f>
        <v>0</v>
      </c>
      <c r="D93" s="188">
        <f t="shared" ref="D93:Z93" si="7">D31</f>
        <v>0</v>
      </c>
      <c r="E93" s="188">
        <f t="shared" si="7"/>
        <v>0</v>
      </c>
      <c r="F93" s="188">
        <f t="shared" si="7"/>
        <v>0</v>
      </c>
      <c r="G93" s="188">
        <f t="shared" si="7"/>
        <v>0</v>
      </c>
      <c r="H93" s="188">
        <f t="shared" si="7"/>
        <v>0</v>
      </c>
      <c r="I93" s="188">
        <f t="shared" si="7"/>
        <v>0</v>
      </c>
      <c r="J93" s="188">
        <f t="shared" si="7"/>
        <v>0</v>
      </c>
      <c r="K93" s="188">
        <f t="shared" si="7"/>
        <v>0</v>
      </c>
      <c r="L93" s="188">
        <f t="shared" si="7"/>
        <v>0</v>
      </c>
      <c r="M93" s="188">
        <f t="shared" si="7"/>
        <v>0</v>
      </c>
      <c r="N93" s="188">
        <f t="shared" si="7"/>
        <v>0</v>
      </c>
      <c r="O93" s="188">
        <f t="shared" si="7"/>
        <v>0</v>
      </c>
      <c r="P93" s="188">
        <f t="shared" si="7"/>
        <v>0</v>
      </c>
      <c r="Q93" s="188">
        <f t="shared" si="7"/>
        <v>0</v>
      </c>
      <c r="R93" s="188">
        <f t="shared" si="7"/>
        <v>0</v>
      </c>
      <c r="S93" s="188">
        <f t="shared" si="7"/>
        <v>0</v>
      </c>
      <c r="T93" s="188">
        <f t="shared" si="7"/>
        <v>0</v>
      </c>
      <c r="U93" s="188">
        <f t="shared" si="7"/>
        <v>0</v>
      </c>
      <c r="V93" s="188">
        <f t="shared" si="7"/>
        <v>0</v>
      </c>
      <c r="W93" s="188">
        <f t="shared" si="7"/>
        <v>0</v>
      </c>
      <c r="X93" s="188">
        <f t="shared" si="7"/>
        <v>0</v>
      </c>
      <c r="Y93" s="188">
        <f t="shared" si="7"/>
        <v>0</v>
      </c>
      <c r="Z93" s="188">
        <f t="shared" si="7"/>
        <v>0</v>
      </c>
    </row>
    <row r="94" spans="1:26">
      <c r="C94" s="188">
        <f>C55</f>
        <v>0</v>
      </c>
      <c r="D94" s="188">
        <f t="shared" ref="D94:Z94" si="8">D55</f>
        <v>0</v>
      </c>
      <c r="E94" s="188">
        <f t="shared" si="8"/>
        <v>0</v>
      </c>
      <c r="F94" s="188">
        <f t="shared" si="8"/>
        <v>0</v>
      </c>
      <c r="G94" s="188">
        <f t="shared" si="8"/>
        <v>0</v>
      </c>
      <c r="H94" s="188">
        <f t="shared" si="8"/>
        <v>0</v>
      </c>
      <c r="I94" s="188">
        <f t="shared" si="8"/>
        <v>0</v>
      </c>
      <c r="J94" s="188">
        <f t="shared" si="8"/>
        <v>0</v>
      </c>
      <c r="K94" s="188">
        <f t="shared" si="8"/>
        <v>0</v>
      </c>
      <c r="L94" s="188">
        <f t="shared" si="8"/>
        <v>0</v>
      </c>
      <c r="M94" s="188">
        <f t="shared" si="8"/>
        <v>0</v>
      </c>
      <c r="N94" s="188">
        <f t="shared" si="8"/>
        <v>0</v>
      </c>
      <c r="O94" s="188">
        <f t="shared" si="8"/>
        <v>0</v>
      </c>
      <c r="P94" s="188">
        <f t="shared" si="8"/>
        <v>0</v>
      </c>
      <c r="Q94" s="188">
        <f t="shared" si="8"/>
        <v>0</v>
      </c>
      <c r="R94" s="188">
        <f t="shared" si="8"/>
        <v>0</v>
      </c>
      <c r="S94" s="188">
        <f t="shared" si="8"/>
        <v>0</v>
      </c>
      <c r="T94" s="188">
        <f t="shared" si="8"/>
        <v>0</v>
      </c>
      <c r="U94" s="188">
        <f t="shared" si="8"/>
        <v>0</v>
      </c>
      <c r="V94" s="188">
        <f t="shared" si="8"/>
        <v>0</v>
      </c>
      <c r="W94" s="188">
        <f t="shared" si="8"/>
        <v>0</v>
      </c>
      <c r="X94" s="188">
        <f t="shared" si="8"/>
        <v>0</v>
      </c>
      <c r="Y94" s="188">
        <f t="shared" si="8"/>
        <v>0</v>
      </c>
      <c r="Z94" s="188">
        <f t="shared" si="8"/>
        <v>0</v>
      </c>
    </row>
    <row r="95" spans="1:26">
      <c r="A95" t="s">
        <v>775</v>
      </c>
      <c r="B95" t="s">
        <v>776</v>
      </c>
      <c r="C95" s="188">
        <f>C8</f>
        <v>0</v>
      </c>
      <c r="D95" s="188">
        <f t="shared" ref="D95:Z95" si="9">D8</f>
        <v>0</v>
      </c>
      <c r="E95" s="188">
        <f t="shared" si="9"/>
        <v>0</v>
      </c>
      <c r="F95" s="188">
        <f t="shared" si="9"/>
        <v>0</v>
      </c>
      <c r="G95" s="188">
        <f t="shared" si="9"/>
        <v>0</v>
      </c>
      <c r="H95" s="188">
        <f t="shared" si="9"/>
        <v>0</v>
      </c>
      <c r="I95" s="188">
        <f t="shared" si="9"/>
        <v>0</v>
      </c>
      <c r="J95" s="188">
        <f t="shared" si="9"/>
        <v>0</v>
      </c>
      <c r="K95" s="188">
        <f t="shared" si="9"/>
        <v>0</v>
      </c>
      <c r="L95" s="188">
        <f t="shared" si="9"/>
        <v>0</v>
      </c>
      <c r="M95" s="188">
        <f t="shared" si="9"/>
        <v>0</v>
      </c>
      <c r="N95" s="188">
        <f t="shared" si="9"/>
        <v>0</v>
      </c>
      <c r="O95" s="188">
        <f t="shared" si="9"/>
        <v>0</v>
      </c>
      <c r="P95" s="188">
        <f t="shared" si="9"/>
        <v>0</v>
      </c>
      <c r="Q95" s="188">
        <f t="shared" si="9"/>
        <v>0</v>
      </c>
      <c r="R95" s="188">
        <f t="shared" si="9"/>
        <v>0</v>
      </c>
      <c r="S95" s="188">
        <f t="shared" si="9"/>
        <v>0</v>
      </c>
      <c r="T95" s="188">
        <f t="shared" si="9"/>
        <v>0</v>
      </c>
      <c r="U95" s="188">
        <f t="shared" si="9"/>
        <v>0</v>
      </c>
      <c r="V95" s="188">
        <f t="shared" si="9"/>
        <v>0</v>
      </c>
      <c r="W95" s="188">
        <f t="shared" si="9"/>
        <v>0</v>
      </c>
      <c r="X95" s="188">
        <f t="shared" si="9"/>
        <v>0</v>
      </c>
      <c r="Y95" s="188">
        <f t="shared" si="9"/>
        <v>0</v>
      </c>
      <c r="Z95" s="188">
        <f t="shared" si="9"/>
        <v>0</v>
      </c>
    </row>
    <row r="96" spans="1:26">
      <c r="C96" s="188">
        <f>C32</f>
        <v>0</v>
      </c>
      <c r="D96" s="188">
        <f t="shared" ref="D96:Z96" si="10">D32</f>
        <v>0</v>
      </c>
      <c r="E96" s="188">
        <f t="shared" si="10"/>
        <v>0</v>
      </c>
      <c r="F96" s="188">
        <f t="shared" si="10"/>
        <v>0</v>
      </c>
      <c r="G96" s="188">
        <f t="shared" si="10"/>
        <v>0</v>
      </c>
      <c r="H96" s="188">
        <f t="shared" si="10"/>
        <v>0</v>
      </c>
      <c r="I96" s="188">
        <f t="shared" si="10"/>
        <v>0</v>
      </c>
      <c r="J96" s="188">
        <f t="shared" si="10"/>
        <v>0</v>
      </c>
      <c r="K96" s="188">
        <f t="shared" si="10"/>
        <v>0</v>
      </c>
      <c r="L96" s="188">
        <f t="shared" si="10"/>
        <v>0</v>
      </c>
      <c r="M96" s="188">
        <f t="shared" si="10"/>
        <v>0</v>
      </c>
      <c r="N96" s="188">
        <f t="shared" si="10"/>
        <v>0</v>
      </c>
      <c r="O96" s="188">
        <f t="shared" si="10"/>
        <v>0</v>
      </c>
      <c r="P96" s="188">
        <f t="shared" si="10"/>
        <v>0</v>
      </c>
      <c r="Q96" s="188">
        <f t="shared" si="10"/>
        <v>0</v>
      </c>
      <c r="R96" s="188">
        <f t="shared" si="10"/>
        <v>0</v>
      </c>
      <c r="S96" s="188">
        <f t="shared" si="10"/>
        <v>0</v>
      </c>
      <c r="T96" s="188">
        <f t="shared" si="10"/>
        <v>0</v>
      </c>
      <c r="U96" s="188">
        <f t="shared" si="10"/>
        <v>0</v>
      </c>
      <c r="V96" s="188">
        <f t="shared" si="10"/>
        <v>0</v>
      </c>
      <c r="W96" s="188">
        <f t="shared" si="10"/>
        <v>0</v>
      </c>
      <c r="X96" s="188">
        <f t="shared" si="10"/>
        <v>0</v>
      </c>
      <c r="Y96" s="188">
        <f t="shared" si="10"/>
        <v>0</v>
      </c>
      <c r="Z96" s="188">
        <f t="shared" si="10"/>
        <v>0</v>
      </c>
    </row>
    <row r="97" spans="1:26">
      <c r="C97" s="188">
        <f>C56</f>
        <v>0</v>
      </c>
      <c r="D97" s="188">
        <f t="shared" ref="D97:Z97" si="11">D56</f>
        <v>0</v>
      </c>
      <c r="E97" s="188">
        <f t="shared" si="11"/>
        <v>0</v>
      </c>
      <c r="F97" s="188">
        <f t="shared" si="11"/>
        <v>0</v>
      </c>
      <c r="G97" s="188">
        <f t="shared" si="11"/>
        <v>0</v>
      </c>
      <c r="H97" s="188">
        <f t="shared" si="11"/>
        <v>0</v>
      </c>
      <c r="I97" s="188">
        <f t="shared" si="11"/>
        <v>0</v>
      </c>
      <c r="J97" s="188">
        <f t="shared" si="11"/>
        <v>0</v>
      </c>
      <c r="K97" s="188">
        <f t="shared" si="11"/>
        <v>0</v>
      </c>
      <c r="L97" s="188">
        <f t="shared" si="11"/>
        <v>0</v>
      </c>
      <c r="M97" s="188">
        <f t="shared" si="11"/>
        <v>0</v>
      </c>
      <c r="N97" s="188">
        <f t="shared" si="11"/>
        <v>0</v>
      </c>
      <c r="O97" s="188">
        <f t="shared" si="11"/>
        <v>0</v>
      </c>
      <c r="P97" s="188">
        <f t="shared" si="11"/>
        <v>0</v>
      </c>
      <c r="Q97" s="188">
        <f t="shared" si="11"/>
        <v>0</v>
      </c>
      <c r="R97" s="188">
        <f t="shared" si="11"/>
        <v>0</v>
      </c>
      <c r="S97" s="188">
        <f t="shared" si="11"/>
        <v>0</v>
      </c>
      <c r="T97" s="188">
        <f t="shared" si="11"/>
        <v>0</v>
      </c>
      <c r="U97" s="188">
        <f t="shared" si="11"/>
        <v>0</v>
      </c>
      <c r="V97" s="188">
        <f t="shared" si="11"/>
        <v>0</v>
      </c>
      <c r="W97" s="188">
        <f t="shared" si="11"/>
        <v>0</v>
      </c>
      <c r="X97" s="188">
        <f t="shared" si="11"/>
        <v>0</v>
      </c>
      <c r="Y97" s="188">
        <f t="shared" si="11"/>
        <v>0</v>
      </c>
      <c r="Z97" s="188">
        <f t="shared" si="11"/>
        <v>0</v>
      </c>
    </row>
    <row r="98" spans="1:26">
      <c r="A98" t="s">
        <v>777</v>
      </c>
      <c r="B98" t="s">
        <v>778</v>
      </c>
      <c r="C98" s="188">
        <f>C9</f>
        <v>0</v>
      </c>
      <c r="D98" s="188">
        <f t="shared" ref="D98:Z98" si="12">D9</f>
        <v>0</v>
      </c>
      <c r="E98" s="188">
        <f t="shared" si="12"/>
        <v>0</v>
      </c>
      <c r="F98" s="188">
        <f t="shared" si="12"/>
        <v>0</v>
      </c>
      <c r="G98" s="188">
        <f t="shared" si="12"/>
        <v>0</v>
      </c>
      <c r="H98" s="188">
        <f t="shared" si="12"/>
        <v>0</v>
      </c>
      <c r="I98" s="188">
        <f t="shared" si="12"/>
        <v>0</v>
      </c>
      <c r="J98" s="188">
        <f t="shared" si="12"/>
        <v>0</v>
      </c>
      <c r="K98" s="188">
        <f t="shared" si="12"/>
        <v>0</v>
      </c>
      <c r="L98" s="188">
        <f t="shared" si="12"/>
        <v>0</v>
      </c>
      <c r="M98" s="188">
        <f t="shared" si="12"/>
        <v>0</v>
      </c>
      <c r="N98" s="188">
        <f t="shared" si="12"/>
        <v>0</v>
      </c>
      <c r="O98" s="188">
        <f t="shared" si="12"/>
        <v>0</v>
      </c>
      <c r="P98" s="188">
        <f t="shared" si="12"/>
        <v>0</v>
      </c>
      <c r="Q98" s="188">
        <f t="shared" si="12"/>
        <v>0</v>
      </c>
      <c r="R98" s="188">
        <f t="shared" si="12"/>
        <v>0</v>
      </c>
      <c r="S98" s="188">
        <f t="shared" si="12"/>
        <v>0</v>
      </c>
      <c r="T98" s="188">
        <f t="shared" si="12"/>
        <v>0</v>
      </c>
      <c r="U98" s="188">
        <f t="shared" si="12"/>
        <v>0</v>
      </c>
      <c r="V98" s="188">
        <f t="shared" si="12"/>
        <v>0</v>
      </c>
      <c r="W98" s="188">
        <f t="shared" si="12"/>
        <v>0</v>
      </c>
      <c r="X98" s="188">
        <f t="shared" si="12"/>
        <v>0</v>
      </c>
      <c r="Y98" s="188">
        <f t="shared" si="12"/>
        <v>0</v>
      </c>
      <c r="Z98" s="188">
        <f t="shared" si="12"/>
        <v>0</v>
      </c>
    </row>
    <row r="99" spans="1:26">
      <c r="C99" s="188">
        <f>C33</f>
        <v>0</v>
      </c>
      <c r="D99" s="188">
        <f t="shared" ref="D99:Z99" si="13">D33</f>
        <v>0</v>
      </c>
      <c r="E99" s="188">
        <f t="shared" si="13"/>
        <v>0</v>
      </c>
      <c r="F99" s="188">
        <f t="shared" si="13"/>
        <v>0</v>
      </c>
      <c r="G99" s="188">
        <f t="shared" si="13"/>
        <v>0</v>
      </c>
      <c r="H99" s="188">
        <f t="shared" si="13"/>
        <v>0</v>
      </c>
      <c r="I99" s="188">
        <f t="shared" si="13"/>
        <v>0</v>
      </c>
      <c r="J99" s="188">
        <f t="shared" si="13"/>
        <v>0</v>
      </c>
      <c r="K99" s="188">
        <f t="shared" si="13"/>
        <v>0</v>
      </c>
      <c r="L99" s="188">
        <f t="shared" si="13"/>
        <v>0</v>
      </c>
      <c r="M99" s="188">
        <f t="shared" si="13"/>
        <v>0</v>
      </c>
      <c r="N99" s="188">
        <f t="shared" si="13"/>
        <v>0</v>
      </c>
      <c r="O99" s="188">
        <f t="shared" si="13"/>
        <v>0</v>
      </c>
      <c r="P99" s="188">
        <f t="shared" si="13"/>
        <v>0</v>
      </c>
      <c r="Q99" s="188">
        <f t="shared" si="13"/>
        <v>0</v>
      </c>
      <c r="R99" s="188">
        <f t="shared" si="13"/>
        <v>0</v>
      </c>
      <c r="S99" s="188">
        <f t="shared" si="13"/>
        <v>0</v>
      </c>
      <c r="T99" s="188">
        <f t="shared" si="13"/>
        <v>0</v>
      </c>
      <c r="U99" s="188">
        <f t="shared" si="13"/>
        <v>0</v>
      </c>
      <c r="V99" s="188">
        <f t="shared" si="13"/>
        <v>0</v>
      </c>
      <c r="W99" s="188">
        <f t="shared" si="13"/>
        <v>0</v>
      </c>
      <c r="X99" s="188">
        <f t="shared" si="13"/>
        <v>0</v>
      </c>
      <c r="Y99" s="188">
        <f t="shared" si="13"/>
        <v>0</v>
      </c>
      <c r="Z99" s="188">
        <f t="shared" si="13"/>
        <v>0</v>
      </c>
    </row>
    <row r="100" spans="1:26">
      <c r="C100" s="188">
        <f>C57</f>
        <v>0</v>
      </c>
      <c r="D100" s="188">
        <f t="shared" ref="D100:Z100" si="14">D57</f>
        <v>0</v>
      </c>
      <c r="E100" s="188">
        <f t="shared" si="14"/>
        <v>0</v>
      </c>
      <c r="F100" s="188">
        <f t="shared" si="14"/>
        <v>0</v>
      </c>
      <c r="G100" s="188">
        <f t="shared" si="14"/>
        <v>0</v>
      </c>
      <c r="H100" s="188">
        <f t="shared" si="14"/>
        <v>0</v>
      </c>
      <c r="I100" s="188">
        <f t="shared" si="14"/>
        <v>0</v>
      </c>
      <c r="J100" s="188">
        <f t="shared" si="14"/>
        <v>0</v>
      </c>
      <c r="K100" s="188">
        <f t="shared" si="14"/>
        <v>0</v>
      </c>
      <c r="L100" s="188">
        <f t="shared" si="14"/>
        <v>0</v>
      </c>
      <c r="M100" s="188">
        <f t="shared" si="14"/>
        <v>0</v>
      </c>
      <c r="N100" s="188">
        <f t="shared" si="14"/>
        <v>0</v>
      </c>
      <c r="O100" s="188">
        <f t="shared" si="14"/>
        <v>0</v>
      </c>
      <c r="P100" s="188">
        <f t="shared" si="14"/>
        <v>0</v>
      </c>
      <c r="Q100" s="188">
        <f t="shared" si="14"/>
        <v>0</v>
      </c>
      <c r="R100" s="188">
        <f t="shared" si="14"/>
        <v>0</v>
      </c>
      <c r="S100" s="188">
        <f t="shared" si="14"/>
        <v>0</v>
      </c>
      <c r="T100" s="188">
        <f t="shared" si="14"/>
        <v>0</v>
      </c>
      <c r="U100" s="188">
        <f t="shared" si="14"/>
        <v>0</v>
      </c>
      <c r="V100" s="188">
        <f t="shared" si="14"/>
        <v>0</v>
      </c>
      <c r="W100" s="188">
        <f t="shared" si="14"/>
        <v>0</v>
      </c>
      <c r="X100" s="188">
        <f t="shared" si="14"/>
        <v>0</v>
      </c>
      <c r="Y100" s="188">
        <f t="shared" si="14"/>
        <v>0</v>
      </c>
      <c r="Z100" s="188">
        <f t="shared" si="14"/>
        <v>0</v>
      </c>
    </row>
    <row r="101" spans="1:26">
      <c r="A101" t="s">
        <v>779</v>
      </c>
      <c r="B101" t="s">
        <v>780</v>
      </c>
      <c r="C101" s="188">
        <f>C10</f>
        <v>0</v>
      </c>
      <c r="D101" s="188">
        <f t="shared" ref="D101:Z101" si="15">D10</f>
        <v>0</v>
      </c>
      <c r="E101" s="188">
        <f t="shared" si="15"/>
        <v>0</v>
      </c>
      <c r="F101" s="188">
        <f t="shared" si="15"/>
        <v>0</v>
      </c>
      <c r="G101" s="188">
        <f t="shared" si="15"/>
        <v>0</v>
      </c>
      <c r="H101" s="188">
        <f t="shared" si="15"/>
        <v>0</v>
      </c>
      <c r="I101" s="188">
        <f t="shared" si="15"/>
        <v>0</v>
      </c>
      <c r="J101" s="188">
        <f t="shared" si="15"/>
        <v>0</v>
      </c>
      <c r="K101" s="188">
        <f t="shared" si="15"/>
        <v>0</v>
      </c>
      <c r="L101" s="188">
        <f t="shared" si="15"/>
        <v>0</v>
      </c>
      <c r="M101" s="188">
        <f t="shared" si="15"/>
        <v>0</v>
      </c>
      <c r="N101" s="188">
        <f t="shared" si="15"/>
        <v>0</v>
      </c>
      <c r="O101" s="188">
        <f t="shared" si="15"/>
        <v>0</v>
      </c>
      <c r="P101" s="188">
        <f t="shared" si="15"/>
        <v>0</v>
      </c>
      <c r="Q101" s="188">
        <f t="shared" si="15"/>
        <v>0</v>
      </c>
      <c r="R101" s="188">
        <f t="shared" si="15"/>
        <v>0</v>
      </c>
      <c r="S101" s="188">
        <f t="shared" si="15"/>
        <v>0</v>
      </c>
      <c r="T101" s="188">
        <f t="shared" si="15"/>
        <v>0</v>
      </c>
      <c r="U101" s="188">
        <f t="shared" si="15"/>
        <v>0</v>
      </c>
      <c r="V101" s="188">
        <f t="shared" si="15"/>
        <v>0</v>
      </c>
      <c r="W101" s="188">
        <f t="shared" si="15"/>
        <v>0</v>
      </c>
      <c r="X101" s="188">
        <f t="shared" si="15"/>
        <v>0</v>
      </c>
      <c r="Y101" s="188">
        <f t="shared" si="15"/>
        <v>0</v>
      </c>
      <c r="Z101" s="188">
        <f t="shared" si="15"/>
        <v>0</v>
      </c>
    </row>
    <row r="102" spans="1:26">
      <c r="C102" s="188">
        <f>C34</f>
        <v>0</v>
      </c>
      <c r="D102" s="188">
        <f t="shared" ref="D102:Z102" si="16">D34</f>
        <v>0</v>
      </c>
      <c r="E102" s="188">
        <f t="shared" si="16"/>
        <v>0</v>
      </c>
      <c r="F102" s="188">
        <f t="shared" si="16"/>
        <v>0</v>
      </c>
      <c r="G102" s="188">
        <f t="shared" si="16"/>
        <v>0</v>
      </c>
      <c r="H102" s="188">
        <f t="shared" si="16"/>
        <v>0</v>
      </c>
      <c r="I102" s="188">
        <f t="shared" si="16"/>
        <v>0</v>
      </c>
      <c r="J102" s="188">
        <f t="shared" si="16"/>
        <v>0</v>
      </c>
      <c r="K102" s="188">
        <f t="shared" si="16"/>
        <v>0</v>
      </c>
      <c r="L102" s="188">
        <f t="shared" si="16"/>
        <v>0</v>
      </c>
      <c r="M102" s="188">
        <f t="shared" si="16"/>
        <v>0</v>
      </c>
      <c r="N102" s="188">
        <f t="shared" si="16"/>
        <v>0</v>
      </c>
      <c r="O102" s="188">
        <f t="shared" si="16"/>
        <v>0</v>
      </c>
      <c r="P102" s="188">
        <f t="shared" si="16"/>
        <v>0</v>
      </c>
      <c r="Q102" s="188">
        <f t="shared" si="16"/>
        <v>0</v>
      </c>
      <c r="R102" s="188">
        <f t="shared" si="16"/>
        <v>0</v>
      </c>
      <c r="S102" s="188">
        <f t="shared" si="16"/>
        <v>0</v>
      </c>
      <c r="T102" s="188">
        <f t="shared" si="16"/>
        <v>0</v>
      </c>
      <c r="U102" s="188">
        <f t="shared" si="16"/>
        <v>0</v>
      </c>
      <c r="V102" s="188">
        <f t="shared" si="16"/>
        <v>0</v>
      </c>
      <c r="W102" s="188">
        <f t="shared" si="16"/>
        <v>0</v>
      </c>
      <c r="X102" s="188">
        <f t="shared" si="16"/>
        <v>0</v>
      </c>
      <c r="Y102" s="188">
        <f t="shared" si="16"/>
        <v>0</v>
      </c>
      <c r="Z102" s="188">
        <f t="shared" si="16"/>
        <v>0</v>
      </c>
    </row>
    <row r="103" spans="1:26">
      <c r="C103" s="188">
        <f>C58</f>
        <v>0</v>
      </c>
      <c r="D103" s="188">
        <f t="shared" ref="D103:Z103" si="17">D58</f>
        <v>0</v>
      </c>
      <c r="E103" s="188">
        <f t="shared" si="17"/>
        <v>0</v>
      </c>
      <c r="F103" s="188">
        <f t="shared" si="17"/>
        <v>0</v>
      </c>
      <c r="G103" s="188">
        <f t="shared" si="17"/>
        <v>0</v>
      </c>
      <c r="H103" s="188">
        <f t="shared" si="17"/>
        <v>0</v>
      </c>
      <c r="I103" s="188">
        <f t="shared" si="17"/>
        <v>0</v>
      </c>
      <c r="J103" s="188">
        <f t="shared" si="17"/>
        <v>0</v>
      </c>
      <c r="K103" s="188">
        <f t="shared" si="17"/>
        <v>0</v>
      </c>
      <c r="L103" s="188">
        <f t="shared" si="17"/>
        <v>0</v>
      </c>
      <c r="M103" s="188">
        <f t="shared" si="17"/>
        <v>0</v>
      </c>
      <c r="N103" s="188">
        <f t="shared" si="17"/>
        <v>0</v>
      </c>
      <c r="O103" s="188">
        <f t="shared" si="17"/>
        <v>0</v>
      </c>
      <c r="P103" s="188">
        <f t="shared" si="17"/>
        <v>0</v>
      </c>
      <c r="Q103" s="188">
        <f t="shared" si="17"/>
        <v>0</v>
      </c>
      <c r="R103" s="188">
        <f t="shared" si="17"/>
        <v>0</v>
      </c>
      <c r="S103" s="188">
        <f t="shared" si="17"/>
        <v>0</v>
      </c>
      <c r="T103" s="188">
        <f t="shared" si="17"/>
        <v>0</v>
      </c>
      <c r="U103" s="188">
        <f t="shared" si="17"/>
        <v>0</v>
      </c>
      <c r="V103" s="188">
        <f t="shared" si="17"/>
        <v>0</v>
      </c>
      <c r="W103" s="188">
        <f t="shared" si="17"/>
        <v>0</v>
      </c>
      <c r="X103" s="188">
        <f t="shared" si="17"/>
        <v>0</v>
      </c>
      <c r="Y103" s="188">
        <f t="shared" si="17"/>
        <v>0</v>
      </c>
      <c r="Z103" s="188">
        <f t="shared" si="17"/>
        <v>0</v>
      </c>
    </row>
    <row r="104" spans="1:26">
      <c r="A104" t="s">
        <v>781</v>
      </c>
      <c r="C104" s="188">
        <f>C11</f>
        <v>0</v>
      </c>
      <c r="D104" s="188">
        <f t="shared" ref="D104:Z104" si="18">D11</f>
        <v>0</v>
      </c>
      <c r="E104" s="188">
        <f t="shared" si="18"/>
        <v>0</v>
      </c>
      <c r="F104" s="188">
        <f t="shared" si="18"/>
        <v>0</v>
      </c>
      <c r="G104" s="188">
        <f t="shared" si="18"/>
        <v>0</v>
      </c>
      <c r="H104" s="188">
        <f t="shared" si="18"/>
        <v>0</v>
      </c>
      <c r="I104" s="188">
        <f t="shared" si="18"/>
        <v>0</v>
      </c>
      <c r="J104" s="188">
        <f t="shared" si="18"/>
        <v>0</v>
      </c>
      <c r="K104" s="188">
        <f t="shared" si="18"/>
        <v>0</v>
      </c>
      <c r="L104" s="188">
        <f t="shared" si="18"/>
        <v>0</v>
      </c>
      <c r="M104" s="188">
        <f t="shared" si="18"/>
        <v>0</v>
      </c>
      <c r="N104" s="188">
        <f t="shared" si="18"/>
        <v>0</v>
      </c>
      <c r="O104" s="188">
        <f t="shared" si="18"/>
        <v>0</v>
      </c>
      <c r="P104" s="188">
        <f t="shared" si="18"/>
        <v>0</v>
      </c>
      <c r="Q104" s="188">
        <f t="shared" si="18"/>
        <v>0</v>
      </c>
      <c r="R104" s="188">
        <f t="shared" si="18"/>
        <v>0</v>
      </c>
      <c r="S104" s="188">
        <f t="shared" si="18"/>
        <v>0</v>
      </c>
      <c r="T104" s="188">
        <f t="shared" si="18"/>
        <v>0</v>
      </c>
      <c r="U104" s="188">
        <f t="shared" si="18"/>
        <v>0</v>
      </c>
      <c r="V104" s="188">
        <f t="shared" si="18"/>
        <v>0</v>
      </c>
      <c r="W104" s="188">
        <f t="shared" si="18"/>
        <v>0</v>
      </c>
      <c r="X104" s="188">
        <f t="shared" si="18"/>
        <v>0</v>
      </c>
      <c r="Y104" s="188">
        <f t="shared" si="18"/>
        <v>0</v>
      </c>
      <c r="Z104" s="188">
        <f t="shared" si="18"/>
        <v>0</v>
      </c>
    </row>
    <row r="105" spans="1:26">
      <c r="C105" s="188">
        <f>C35</f>
        <v>0</v>
      </c>
      <c r="D105" s="188">
        <f t="shared" ref="D105:Z105" si="19">D35</f>
        <v>0</v>
      </c>
      <c r="E105" s="188">
        <f t="shared" si="19"/>
        <v>0</v>
      </c>
      <c r="F105" s="188">
        <f t="shared" si="19"/>
        <v>0</v>
      </c>
      <c r="G105" s="188">
        <f t="shared" si="19"/>
        <v>0</v>
      </c>
      <c r="H105" s="188">
        <f t="shared" si="19"/>
        <v>0</v>
      </c>
      <c r="I105" s="188">
        <f t="shared" si="19"/>
        <v>0</v>
      </c>
      <c r="J105" s="188">
        <f t="shared" si="19"/>
        <v>0</v>
      </c>
      <c r="K105" s="188">
        <f t="shared" si="19"/>
        <v>0</v>
      </c>
      <c r="L105" s="188">
        <f t="shared" si="19"/>
        <v>0</v>
      </c>
      <c r="M105" s="188">
        <f t="shared" si="19"/>
        <v>0</v>
      </c>
      <c r="N105" s="188">
        <f t="shared" si="19"/>
        <v>0</v>
      </c>
      <c r="O105" s="188">
        <f t="shared" si="19"/>
        <v>0</v>
      </c>
      <c r="P105" s="188">
        <f t="shared" si="19"/>
        <v>0</v>
      </c>
      <c r="Q105" s="188">
        <f t="shared" si="19"/>
        <v>0</v>
      </c>
      <c r="R105" s="188">
        <f t="shared" si="19"/>
        <v>0</v>
      </c>
      <c r="S105" s="188">
        <f t="shared" si="19"/>
        <v>0</v>
      </c>
      <c r="T105" s="188">
        <f t="shared" si="19"/>
        <v>0</v>
      </c>
      <c r="U105" s="188">
        <f t="shared" si="19"/>
        <v>0</v>
      </c>
      <c r="V105" s="188">
        <f t="shared" si="19"/>
        <v>0</v>
      </c>
      <c r="W105" s="188">
        <f t="shared" si="19"/>
        <v>0</v>
      </c>
      <c r="X105" s="188">
        <f t="shared" si="19"/>
        <v>0</v>
      </c>
      <c r="Y105" s="188">
        <f t="shared" si="19"/>
        <v>0</v>
      </c>
      <c r="Z105" s="188">
        <f t="shared" si="19"/>
        <v>0</v>
      </c>
    </row>
    <row r="106" spans="1:26">
      <c r="C106" s="188">
        <f>C59</f>
        <v>0</v>
      </c>
      <c r="D106" s="188">
        <f t="shared" ref="D106:Z106" si="20">D59</f>
        <v>0</v>
      </c>
      <c r="E106" s="188">
        <f t="shared" si="20"/>
        <v>0</v>
      </c>
      <c r="F106" s="188">
        <f t="shared" si="20"/>
        <v>0</v>
      </c>
      <c r="G106" s="188">
        <f t="shared" si="20"/>
        <v>0</v>
      </c>
      <c r="H106" s="188">
        <f t="shared" si="20"/>
        <v>0</v>
      </c>
      <c r="I106" s="188">
        <f t="shared" si="20"/>
        <v>0</v>
      </c>
      <c r="J106" s="188">
        <f t="shared" si="20"/>
        <v>0</v>
      </c>
      <c r="K106" s="188">
        <f t="shared" si="20"/>
        <v>0</v>
      </c>
      <c r="L106" s="188">
        <f t="shared" si="20"/>
        <v>0</v>
      </c>
      <c r="M106" s="188">
        <f t="shared" si="20"/>
        <v>0</v>
      </c>
      <c r="N106" s="188">
        <f t="shared" si="20"/>
        <v>0</v>
      </c>
      <c r="O106" s="188">
        <f t="shared" si="20"/>
        <v>0</v>
      </c>
      <c r="P106" s="188">
        <f t="shared" si="20"/>
        <v>0</v>
      </c>
      <c r="Q106" s="188">
        <f t="shared" si="20"/>
        <v>0</v>
      </c>
      <c r="R106" s="188">
        <f t="shared" si="20"/>
        <v>0</v>
      </c>
      <c r="S106" s="188">
        <f t="shared" si="20"/>
        <v>0</v>
      </c>
      <c r="T106" s="188">
        <f t="shared" si="20"/>
        <v>0</v>
      </c>
      <c r="U106" s="188">
        <f t="shared" si="20"/>
        <v>0</v>
      </c>
      <c r="V106" s="188">
        <f t="shared" si="20"/>
        <v>0</v>
      </c>
      <c r="W106" s="188">
        <f t="shared" si="20"/>
        <v>0</v>
      </c>
      <c r="X106" s="188">
        <f t="shared" si="20"/>
        <v>0</v>
      </c>
      <c r="Y106" s="188">
        <f t="shared" si="20"/>
        <v>0</v>
      </c>
      <c r="Z106" s="188">
        <f t="shared" si="20"/>
        <v>0</v>
      </c>
    </row>
    <row r="107" spans="1:26">
      <c r="A107" s="6" t="s">
        <v>782</v>
      </c>
      <c r="B107" s="6" t="s">
        <v>783</v>
      </c>
      <c r="C107" s="188">
        <f>C12</f>
        <v>0</v>
      </c>
      <c r="D107" s="188">
        <f t="shared" ref="D107:Z107" si="21">D12</f>
        <v>15.2</v>
      </c>
      <c r="E107" s="188">
        <f t="shared" si="21"/>
        <v>30.3</v>
      </c>
      <c r="F107" s="188">
        <f t="shared" si="21"/>
        <v>45.5</v>
      </c>
      <c r="G107" s="188">
        <f t="shared" si="21"/>
        <v>60.7</v>
      </c>
      <c r="H107" s="188">
        <f t="shared" si="21"/>
        <v>75.8</v>
      </c>
      <c r="I107" s="188">
        <f t="shared" si="21"/>
        <v>91</v>
      </c>
      <c r="J107" s="188">
        <f t="shared" si="21"/>
        <v>106.2</v>
      </c>
      <c r="K107" s="188">
        <f t="shared" si="21"/>
        <v>121.3</v>
      </c>
      <c r="L107" s="188">
        <f t="shared" si="21"/>
        <v>136.5</v>
      </c>
      <c r="M107" s="188">
        <f t="shared" si="21"/>
        <v>151.6</v>
      </c>
      <c r="N107" s="188">
        <f t="shared" si="21"/>
        <v>166.8</v>
      </c>
      <c r="O107" s="188">
        <f t="shared" si="21"/>
        <v>182</v>
      </c>
      <c r="P107" s="188">
        <f t="shared" si="21"/>
        <v>197.1</v>
      </c>
      <c r="Q107" s="188">
        <f t="shared" si="21"/>
        <v>212.3</v>
      </c>
      <c r="R107" s="188">
        <f t="shared" si="21"/>
        <v>227.5</v>
      </c>
      <c r="S107" s="188">
        <f t="shared" si="21"/>
        <v>242.6</v>
      </c>
      <c r="T107" s="188">
        <f t="shared" si="21"/>
        <v>257.8</v>
      </c>
      <c r="U107" s="188">
        <f t="shared" si="21"/>
        <v>273</v>
      </c>
      <c r="V107" s="188">
        <f t="shared" si="21"/>
        <v>288.10000000000002</v>
      </c>
      <c r="W107" s="188">
        <f t="shared" si="21"/>
        <v>303.3</v>
      </c>
      <c r="X107" s="188">
        <f t="shared" si="21"/>
        <v>318.5</v>
      </c>
      <c r="Y107" s="188">
        <f t="shared" si="21"/>
        <v>333.6</v>
      </c>
      <c r="Z107" s="188">
        <f t="shared" si="21"/>
        <v>348.8</v>
      </c>
    </row>
    <row r="108" spans="1:26">
      <c r="A108" s="6"/>
      <c r="B108" s="6"/>
      <c r="C108" s="188">
        <f>C36</f>
        <v>0</v>
      </c>
      <c r="D108" s="188">
        <f t="shared" ref="D108:Z108" si="22">D36</f>
        <v>15.2</v>
      </c>
      <c r="E108" s="188">
        <f t="shared" si="22"/>
        <v>30.3</v>
      </c>
      <c r="F108" s="188">
        <f t="shared" si="22"/>
        <v>45.5</v>
      </c>
      <c r="G108" s="188">
        <f t="shared" si="22"/>
        <v>60.7</v>
      </c>
      <c r="H108" s="188">
        <f t="shared" si="22"/>
        <v>75.8</v>
      </c>
      <c r="I108" s="188">
        <f t="shared" si="22"/>
        <v>91</v>
      </c>
      <c r="J108" s="188">
        <f t="shared" si="22"/>
        <v>106.2</v>
      </c>
      <c r="K108" s="188">
        <f t="shared" si="22"/>
        <v>121.3</v>
      </c>
      <c r="L108" s="188">
        <f t="shared" si="22"/>
        <v>136.5</v>
      </c>
      <c r="M108" s="188">
        <f t="shared" si="22"/>
        <v>151.6</v>
      </c>
      <c r="N108" s="188">
        <f t="shared" si="22"/>
        <v>166.8</v>
      </c>
      <c r="O108" s="188">
        <f t="shared" si="22"/>
        <v>182</v>
      </c>
      <c r="P108" s="188">
        <f t="shared" si="22"/>
        <v>197.1</v>
      </c>
      <c r="Q108" s="188">
        <f t="shared" si="22"/>
        <v>212.3</v>
      </c>
      <c r="R108" s="188">
        <f t="shared" si="22"/>
        <v>227.5</v>
      </c>
      <c r="S108" s="188">
        <f t="shared" si="22"/>
        <v>242.6</v>
      </c>
      <c r="T108" s="188">
        <f t="shared" si="22"/>
        <v>257.8</v>
      </c>
      <c r="U108" s="188">
        <f t="shared" si="22"/>
        <v>273</v>
      </c>
      <c r="V108" s="188">
        <f t="shared" si="22"/>
        <v>288.10000000000002</v>
      </c>
      <c r="W108" s="188">
        <f t="shared" si="22"/>
        <v>303.3</v>
      </c>
      <c r="X108" s="188">
        <f t="shared" si="22"/>
        <v>318.5</v>
      </c>
      <c r="Y108" s="188">
        <f t="shared" si="22"/>
        <v>333.6</v>
      </c>
      <c r="Z108" s="188">
        <f t="shared" si="22"/>
        <v>348.8</v>
      </c>
    </row>
    <row r="109" spans="1:26">
      <c r="A109" s="6"/>
      <c r="B109" s="6"/>
      <c r="C109" s="188">
        <f>C60</f>
        <v>0</v>
      </c>
      <c r="D109" s="188">
        <f t="shared" ref="D109:Z109" si="23">D60</f>
        <v>15.2</v>
      </c>
      <c r="E109" s="188">
        <f t="shared" si="23"/>
        <v>30.3</v>
      </c>
      <c r="F109" s="188">
        <f t="shared" si="23"/>
        <v>45.5</v>
      </c>
      <c r="G109" s="188">
        <f t="shared" si="23"/>
        <v>60.7</v>
      </c>
      <c r="H109" s="188">
        <f t="shared" si="23"/>
        <v>75.8</v>
      </c>
      <c r="I109" s="188">
        <f t="shared" si="23"/>
        <v>91</v>
      </c>
      <c r="J109" s="188">
        <f t="shared" si="23"/>
        <v>106.2</v>
      </c>
      <c r="K109" s="188">
        <f t="shared" si="23"/>
        <v>121.3</v>
      </c>
      <c r="L109" s="188">
        <f t="shared" si="23"/>
        <v>136.5</v>
      </c>
      <c r="M109" s="188">
        <f t="shared" si="23"/>
        <v>151.6</v>
      </c>
      <c r="N109" s="188">
        <f t="shared" si="23"/>
        <v>166.8</v>
      </c>
      <c r="O109" s="188">
        <f t="shared" si="23"/>
        <v>182</v>
      </c>
      <c r="P109" s="188">
        <f t="shared" si="23"/>
        <v>197.1</v>
      </c>
      <c r="Q109" s="188">
        <f t="shared" si="23"/>
        <v>212.3</v>
      </c>
      <c r="R109" s="188">
        <f t="shared" si="23"/>
        <v>227.5</v>
      </c>
      <c r="S109" s="188">
        <f t="shared" si="23"/>
        <v>242.6</v>
      </c>
      <c r="T109" s="188">
        <f t="shared" si="23"/>
        <v>257.8</v>
      </c>
      <c r="U109" s="188">
        <f t="shared" si="23"/>
        <v>273</v>
      </c>
      <c r="V109" s="188">
        <f t="shared" si="23"/>
        <v>288.10000000000002</v>
      </c>
      <c r="W109" s="188">
        <f t="shared" si="23"/>
        <v>303.3</v>
      </c>
      <c r="X109" s="188">
        <f t="shared" si="23"/>
        <v>318.5</v>
      </c>
      <c r="Y109" s="188">
        <f t="shared" si="23"/>
        <v>333.6</v>
      </c>
      <c r="Z109" s="188">
        <f t="shared" si="23"/>
        <v>348.8</v>
      </c>
    </row>
    <row r="110" spans="1:26">
      <c r="A110" s="6" t="s">
        <v>784</v>
      </c>
      <c r="B110" s="6"/>
      <c r="C110" s="188">
        <f>C13</f>
        <v>1</v>
      </c>
      <c r="D110" s="188">
        <f t="shared" ref="D110:Z110" si="24">D13</f>
        <v>1</v>
      </c>
      <c r="E110" s="188">
        <f t="shared" si="24"/>
        <v>1</v>
      </c>
      <c r="F110" s="188">
        <f t="shared" si="24"/>
        <v>1</v>
      </c>
      <c r="G110" s="188">
        <f t="shared" si="24"/>
        <v>1</v>
      </c>
      <c r="H110" s="188">
        <f t="shared" si="24"/>
        <v>1</v>
      </c>
      <c r="I110" s="188">
        <f t="shared" si="24"/>
        <v>1</v>
      </c>
      <c r="J110" s="188">
        <f t="shared" si="24"/>
        <v>1</v>
      </c>
      <c r="K110" s="188">
        <f t="shared" si="24"/>
        <v>1</v>
      </c>
      <c r="L110" s="188">
        <f t="shared" si="24"/>
        <v>1</v>
      </c>
      <c r="M110" s="188">
        <f t="shared" si="24"/>
        <v>1</v>
      </c>
      <c r="N110" s="188">
        <f t="shared" si="24"/>
        <v>1</v>
      </c>
      <c r="O110" s="188">
        <f t="shared" si="24"/>
        <v>1</v>
      </c>
      <c r="P110" s="188">
        <f t="shared" si="24"/>
        <v>1</v>
      </c>
      <c r="Q110" s="188">
        <f t="shared" si="24"/>
        <v>1</v>
      </c>
      <c r="R110" s="188">
        <f t="shared" si="24"/>
        <v>1</v>
      </c>
      <c r="S110" s="188">
        <f t="shared" si="24"/>
        <v>1</v>
      </c>
      <c r="T110" s="188">
        <f t="shared" si="24"/>
        <v>1</v>
      </c>
      <c r="U110" s="188">
        <f t="shared" si="24"/>
        <v>1</v>
      </c>
      <c r="V110" s="188">
        <f t="shared" si="24"/>
        <v>1</v>
      </c>
      <c r="W110" s="188">
        <f t="shared" si="24"/>
        <v>1</v>
      </c>
      <c r="X110" s="188">
        <f t="shared" si="24"/>
        <v>1</v>
      </c>
      <c r="Y110" s="188">
        <f t="shared" si="24"/>
        <v>1</v>
      </c>
      <c r="Z110" s="188">
        <f t="shared" si="24"/>
        <v>1</v>
      </c>
    </row>
    <row r="111" spans="1:26">
      <c r="A111" s="6"/>
      <c r="B111" s="6"/>
      <c r="C111" s="188">
        <f>C37</f>
        <v>1</v>
      </c>
      <c r="D111" s="188">
        <f t="shared" ref="D111:Z111" si="25">D37</f>
        <v>1</v>
      </c>
      <c r="E111" s="188">
        <f t="shared" si="25"/>
        <v>1</v>
      </c>
      <c r="F111" s="188">
        <f t="shared" si="25"/>
        <v>1</v>
      </c>
      <c r="G111" s="188">
        <f t="shared" si="25"/>
        <v>1</v>
      </c>
      <c r="H111" s="188">
        <f t="shared" si="25"/>
        <v>1</v>
      </c>
      <c r="I111" s="188">
        <f t="shared" si="25"/>
        <v>1</v>
      </c>
      <c r="J111" s="188">
        <f t="shared" si="25"/>
        <v>1</v>
      </c>
      <c r="K111" s="188">
        <f t="shared" si="25"/>
        <v>1</v>
      </c>
      <c r="L111" s="188">
        <f t="shared" si="25"/>
        <v>1</v>
      </c>
      <c r="M111" s="188">
        <f t="shared" si="25"/>
        <v>1</v>
      </c>
      <c r="N111" s="188">
        <f t="shared" si="25"/>
        <v>1</v>
      </c>
      <c r="O111" s="188">
        <f t="shared" si="25"/>
        <v>1</v>
      </c>
      <c r="P111" s="188">
        <f t="shared" si="25"/>
        <v>1</v>
      </c>
      <c r="Q111" s="188">
        <f t="shared" si="25"/>
        <v>1</v>
      </c>
      <c r="R111" s="188">
        <f t="shared" si="25"/>
        <v>1</v>
      </c>
      <c r="S111" s="188">
        <f t="shared" si="25"/>
        <v>1</v>
      </c>
      <c r="T111" s="188">
        <f t="shared" si="25"/>
        <v>1</v>
      </c>
      <c r="U111" s="188">
        <f t="shared" si="25"/>
        <v>1</v>
      </c>
      <c r="V111" s="188">
        <f t="shared" si="25"/>
        <v>1</v>
      </c>
      <c r="W111" s="188">
        <f t="shared" si="25"/>
        <v>1</v>
      </c>
      <c r="X111" s="188">
        <f t="shared" si="25"/>
        <v>1</v>
      </c>
      <c r="Y111" s="188">
        <f t="shared" si="25"/>
        <v>1</v>
      </c>
      <c r="Z111" s="188">
        <f t="shared" si="25"/>
        <v>1</v>
      </c>
    </row>
    <row r="112" spans="1:26">
      <c r="A112" s="6"/>
      <c r="B112" s="6"/>
      <c r="C112" s="188">
        <f>C61</f>
        <v>1</v>
      </c>
      <c r="D112" s="188">
        <f t="shared" ref="D112:Z112" si="26">D61</f>
        <v>1</v>
      </c>
      <c r="E112" s="188">
        <f t="shared" si="26"/>
        <v>1</v>
      </c>
      <c r="F112" s="188">
        <f t="shared" si="26"/>
        <v>1</v>
      </c>
      <c r="G112" s="188">
        <f t="shared" si="26"/>
        <v>1</v>
      </c>
      <c r="H112" s="188">
        <f t="shared" si="26"/>
        <v>1</v>
      </c>
      <c r="I112" s="188">
        <f t="shared" si="26"/>
        <v>1</v>
      </c>
      <c r="J112" s="188">
        <f t="shared" si="26"/>
        <v>1</v>
      </c>
      <c r="K112" s="188">
        <f t="shared" si="26"/>
        <v>1</v>
      </c>
      <c r="L112" s="188">
        <f t="shared" si="26"/>
        <v>1</v>
      </c>
      <c r="M112" s="188">
        <f t="shared" si="26"/>
        <v>1</v>
      </c>
      <c r="N112" s="188">
        <f t="shared" si="26"/>
        <v>1</v>
      </c>
      <c r="O112" s="188">
        <f t="shared" si="26"/>
        <v>1</v>
      </c>
      <c r="P112" s="188">
        <f t="shared" si="26"/>
        <v>1</v>
      </c>
      <c r="Q112" s="188">
        <f t="shared" si="26"/>
        <v>1</v>
      </c>
      <c r="R112" s="188">
        <f t="shared" si="26"/>
        <v>1</v>
      </c>
      <c r="S112" s="188">
        <f t="shared" si="26"/>
        <v>1</v>
      </c>
      <c r="T112" s="188">
        <f t="shared" si="26"/>
        <v>1</v>
      </c>
      <c r="U112" s="188">
        <f t="shared" si="26"/>
        <v>1</v>
      </c>
      <c r="V112" s="188">
        <f t="shared" si="26"/>
        <v>1</v>
      </c>
      <c r="W112" s="188">
        <f t="shared" si="26"/>
        <v>1</v>
      </c>
      <c r="X112" s="188">
        <f t="shared" si="26"/>
        <v>1</v>
      </c>
      <c r="Y112" s="188">
        <f t="shared" si="26"/>
        <v>1</v>
      </c>
      <c r="Z112" s="188">
        <f t="shared" si="26"/>
        <v>1</v>
      </c>
    </row>
    <row r="113" spans="1:26">
      <c r="A113" t="s">
        <v>785</v>
      </c>
      <c r="B113" t="s">
        <v>102</v>
      </c>
      <c r="C113" s="188">
        <f>C14</f>
        <v>0.91</v>
      </c>
      <c r="D113" s="188">
        <f t="shared" ref="D113:Z113" si="27">D14</f>
        <v>0.88</v>
      </c>
      <c r="E113" s="188">
        <f t="shared" si="27"/>
        <v>0.85</v>
      </c>
      <c r="F113" s="188">
        <f t="shared" si="27"/>
        <v>0.82</v>
      </c>
      <c r="G113" s="188">
        <f t="shared" si="27"/>
        <v>0.79</v>
      </c>
      <c r="H113" s="188">
        <f t="shared" si="27"/>
        <v>0.77</v>
      </c>
      <c r="I113" s="188">
        <f t="shared" si="27"/>
        <v>0.75</v>
      </c>
      <c r="J113" s="188">
        <f t="shared" si="27"/>
        <v>0.73</v>
      </c>
      <c r="K113" s="188">
        <f t="shared" si="27"/>
        <v>0.71</v>
      </c>
      <c r="L113" s="188">
        <f t="shared" si="27"/>
        <v>0.69</v>
      </c>
      <c r="M113" s="188">
        <f t="shared" si="27"/>
        <v>0.67</v>
      </c>
      <c r="N113" s="188">
        <f t="shared" si="27"/>
        <v>0.65</v>
      </c>
      <c r="O113" s="188">
        <f t="shared" si="27"/>
        <v>0.64</v>
      </c>
      <c r="P113" s="188">
        <f t="shared" si="27"/>
        <v>0.62</v>
      </c>
      <c r="Q113" s="188">
        <f t="shared" si="27"/>
        <v>0.61</v>
      </c>
      <c r="R113" s="188">
        <f t="shared" si="27"/>
        <v>0.59</v>
      </c>
      <c r="S113" s="188">
        <f t="shared" si="27"/>
        <v>0.57999999999999996</v>
      </c>
      <c r="T113" s="188">
        <f t="shared" si="27"/>
        <v>0.56999999999999995</v>
      </c>
      <c r="U113" s="188">
        <f t="shared" si="27"/>
        <v>0.56000000000000005</v>
      </c>
      <c r="V113" s="188">
        <f t="shared" si="27"/>
        <v>0.54</v>
      </c>
      <c r="W113" s="188">
        <f t="shared" si="27"/>
        <v>0.53</v>
      </c>
      <c r="X113" s="188">
        <f t="shared" si="27"/>
        <v>0.52</v>
      </c>
      <c r="Y113" s="188">
        <f t="shared" si="27"/>
        <v>0.51</v>
      </c>
      <c r="Z113" s="188">
        <f t="shared" si="27"/>
        <v>0.5</v>
      </c>
    </row>
    <row r="114" spans="1:26">
      <c r="C114" s="188">
        <f>C38</f>
        <v>0.91</v>
      </c>
      <c r="D114" s="188">
        <f t="shared" ref="D114:Z114" si="28">D38</f>
        <v>0.88</v>
      </c>
      <c r="E114" s="188">
        <f t="shared" si="28"/>
        <v>0.85</v>
      </c>
      <c r="F114" s="188">
        <f t="shared" si="28"/>
        <v>0.82</v>
      </c>
      <c r="G114" s="188">
        <f t="shared" si="28"/>
        <v>0.79</v>
      </c>
      <c r="H114" s="188">
        <f t="shared" si="28"/>
        <v>0.77</v>
      </c>
      <c r="I114" s="188">
        <f t="shared" si="28"/>
        <v>0.75</v>
      </c>
      <c r="J114" s="188">
        <f t="shared" si="28"/>
        <v>0.73</v>
      </c>
      <c r="K114" s="188">
        <f t="shared" si="28"/>
        <v>0.71</v>
      </c>
      <c r="L114" s="188">
        <f t="shared" si="28"/>
        <v>0.69</v>
      </c>
      <c r="M114" s="188">
        <f t="shared" si="28"/>
        <v>0.67</v>
      </c>
      <c r="N114" s="188">
        <f t="shared" si="28"/>
        <v>0.65</v>
      </c>
      <c r="O114" s="188">
        <f t="shared" si="28"/>
        <v>0.64</v>
      </c>
      <c r="P114" s="188">
        <f t="shared" si="28"/>
        <v>0.62</v>
      </c>
      <c r="Q114" s="188">
        <f t="shared" si="28"/>
        <v>0.61</v>
      </c>
      <c r="R114" s="188">
        <f t="shared" si="28"/>
        <v>0.59</v>
      </c>
      <c r="S114" s="188">
        <f t="shared" si="28"/>
        <v>0.57999999999999996</v>
      </c>
      <c r="T114" s="188">
        <f t="shared" si="28"/>
        <v>0.56999999999999995</v>
      </c>
      <c r="U114" s="188">
        <f t="shared" si="28"/>
        <v>0.56000000000000005</v>
      </c>
      <c r="V114" s="188">
        <f t="shared" si="28"/>
        <v>0.54</v>
      </c>
      <c r="W114" s="188">
        <f t="shared" si="28"/>
        <v>0.53</v>
      </c>
      <c r="X114" s="188">
        <f t="shared" si="28"/>
        <v>0.52</v>
      </c>
      <c r="Y114" s="188">
        <f t="shared" si="28"/>
        <v>0.51</v>
      </c>
      <c r="Z114" s="188">
        <f t="shared" si="28"/>
        <v>0.5</v>
      </c>
    </row>
    <row r="115" spans="1:26">
      <c r="C115" s="188">
        <f>C62</f>
        <v>0.91</v>
      </c>
      <c r="D115" s="188">
        <f t="shared" ref="D115:Z115" si="29">D62</f>
        <v>0.88</v>
      </c>
      <c r="E115" s="188">
        <f t="shared" si="29"/>
        <v>0.85</v>
      </c>
      <c r="F115" s="188">
        <f t="shared" si="29"/>
        <v>0.82</v>
      </c>
      <c r="G115" s="188">
        <f t="shared" si="29"/>
        <v>0.79</v>
      </c>
      <c r="H115" s="188">
        <f t="shared" si="29"/>
        <v>0.77</v>
      </c>
      <c r="I115" s="188">
        <f t="shared" si="29"/>
        <v>0.75</v>
      </c>
      <c r="J115" s="188">
        <f t="shared" si="29"/>
        <v>0.73</v>
      </c>
      <c r="K115" s="188">
        <f t="shared" si="29"/>
        <v>0.71</v>
      </c>
      <c r="L115" s="188">
        <f t="shared" si="29"/>
        <v>0.69</v>
      </c>
      <c r="M115" s="188">
        <f t="shared" si="29"/>
        <v>0.67</v>
      </c>
      <c r="N115" s="188">
        <f t="shared" si="29"/>
        <v>0.65</v>
      </c>
      <c r="O115" s="188">
        <f t="shared" si="29"/>
        <v>0.64</v>
      </c>
      <c r="P115" s="188">
        <f t="shared" si="29"/>
        <v>0.62</v>
      </c>
      <c r="Q115" s="188">
        <f t="shared" si="29"/>
        <v>0.61</v>
      </c>
      <c r="R115" s="188">
        <f t="shared" si="29"/>
        <v>0.59</v>
      </c>
      <c r="S115" s="188">
        <f t="shared" si="29"/>
        <v>0.57999999999999996</v>
      </c>
      <c r="T115" s="188">
        <f t="shared" si="29"/>
        <v>0.56999999999999995</v>
      </c>
      <c r="U115" s="188">
        <f t="shared" si="29"/>
        <v>0.56000000000000005</v>
      </c>
      <c r="V115" s="188">
        <f t="shared" si="29"/>
        <v>0.54</v>
      </c>
      <c r="W115" s="188">
        <f t="shared" si="29"/>
        <v>0.53</v>
      </c>
      <c r="X115" s="188">
        <f t="shared" si="29"/>
        <v>0.52</v>
      </c>
      <c r="Y115" s="188">
        <f t="shared" si="29"/>
        <v>0.51</v>
      </c>
      <c r="Z115" s="188">
        <f t="shared" si="29"/>
        <v>0.5</v>
      </c>
    </row>
    <row r="116" spans="1:26">
      <c r="A116" t="s">
        <v>786</v>
      </c>
      <c r="B116" t="s">
        <v>774</v>
      </c>
      <c r="C116" s="188">
        <f>C15</f>
        <v>1.1220000000000001</v>
      </c>
      <c r="D116" s="188">
        <f t="shared" ref="D116:Z116" si="30">D15</f>
        <v>1.125</v>
      </c>
      <c r="E116" s="188">
        <f t="shared" si="30"/>
        <v>1.129</v>
      </c>
      <c r="F116" s="188">
        <f t="shared" si="30"/>
        <v>1.1319999999999999</v>
      </c>
      <c r="G116" s="188">
        <f t="shared" si="30"/>
        <v>1.1359999999999999</v>
      </c>
      <c r="H116" s="188">
        <f t="shared" si="30"/>
        <v>1.1399999999999999</v>
      </c>
      <c r="I116" s="188">
        <f t="shared" si="30"/>
        <v>1.143</v>
      </c>
      <c r="J116" s="188">
        <f t="shared" si="30"/>
        <v>1.147</v>
      </c>
      <c r="K116" s="188">
        <f t="shared" si="30"/>
        <v>1.1499999999999999</v>
      </c>
      <c r="L116" s="188">
        <f t="shared" si="30"/>
        <v>1.1539999999999999</v>
      </c>
      <c r="M116" s="188">
        <f t="shared" si="30"/>
        <v>1.1579999999999999</v>
      </c>
      <c r="N116" s="188">
        <f t="shared" si="30"/>
        <v>1.161</v>
      </c>
      <c r="O116" s="188">
        <f t="shared" si="30"/>
        <v>1.165</v>
      </c>
      <c r="P116" s="188">
        <f t="shared" si="30"/>
        <v>1.1679999999999999</v>
      </c>
      <c r="Q116" s="188">
        <f t="shared" si="30"/>
        <v>1.1719999999999999</v>
      </c>
      <c r="R116" s="188">
        <f t="shared" si="30"/>
        <v>1.1759999999999999</v>
      </c>
      <c r="S116" s="188">
        <f t="shared" si="30"/>
        <v>1.179</v>
      </c>
      <c r="T116" s="188">
        <f t="shared" si="30"/>
        <v>1.1830000000000001</v>
      </c>
      <c r="U116" s="188">
        <f t="shared" si="30"/>
        <v>1.1859999999999999</v>
      </c>
      <c r="V116" s="188">
        <f t="shared" si="30"/>
        <v>1.19</v>
      </c>
      <c r="W116" s="188">
        <f t="shared" si="30"/>
        <v>1.1930000000000001</v>
      </c>
      <c r="X116" s="188">
        <f t="shared" si="30"/>
        <v>1.1970000000000001</v>
      </c>
      <c r="Y116" s="188">
        <f t="shared" si="30"/>
        <v>1.2</v>
      </c>
      <c r="Z116" s="188">
        <f t="shared" si="30"/>
        <v>1.2030000000000001</v>
      </c>
    </row>
    <row r="117" spans="1:26">
      <c r="C117" s="188">
        <f>C39</f>
        <v>1.1220000000000001</v>
      </c>
      <c r="D117" s="188">
        <f t="shared" ref="D117:Z117" si="31">D39</f>
        <v>1.125</v>
      </c>
      <c r="E117" s="188">
        <f t="shared" si="31"/>
        <v>1.129</v>
      </c>
      <c r="F117" s="188">
        <f t="shared" si="31"/>
        <v>1.1319999999999999</v>
      </c>
      <c r="G117" s="188">
        <f t="shared" si="31"/>
        <v>1.1359999999999999</v>
      </c>
      <c r="H117" s="188">
        <f t="shared" si="31"/>
        <v>1.1399999999999999</v>
      </c>
      <c r="I117" s="188">
        <f t="shared" si="31"/>
        <v>1.143</v>
      </c>
      <c r="J117" s="188">
        <f t="shared" si="31"/>
        <v>1.147</v>
      </c>
      <c r="K117" s="188">
        <f t="shared" si="31"/>
        <v>1.1499999999999999</v>
      </c>
      <c r="L117" s="188">
        <f t="shared" si="31"/>
        <v>1.1539999999999999</v>
      </c>
      <c r="M117" s="188">
        <f t="shared" si="31"/>
        <v>1.1579999999999999</v>
      </c>
      <c r="N117" s="188">
        <f t="shared" si="31"/>
        <v>1.161</v>
      </c>
      <c r="O117" s="188">
        <f t="shared" si="31"/>
        <v>1.165</v>
      </c>
      <c r="P117" s="188">
        <f t="shared" si="31"/>
        <v>1.1679999999999999</v>
      </c>
      <c r="Q117" s="188">
        <f t="shared" si="31"/>
        <v>1.1719999999999999</v>
      </c>
      <c r="R117" s="188">
        <f t="shared" si="31"/>
        <v>1.1759999999999999</v>
      </c>
      <c r="S117" s="188">
        <f t="shared" si="31"/>
        <v>1.179</v>
      </c>
      <c r="T117" s="188">
        <f t="shared" si="31"/>
        <v>1.1830000000000001</v>
      </c>
      <c r="U117" s="188">
        <f t="shared" si="31"/>
        <v>1.1859999999999999</v>
      </c>
      <c r="V117" s="188">
        <f t="shared" si="31"/>
        <v>1.19</v>
      </c>
      <c r="W117" s="188">
        <f t="shared" si="31"/>
        <v>1.1930000000000001</v>
      </c>
      <c r="X117" s="188">
        <f t="shared" si="31"/>
        <v>1.1970000000000001</v>
      </c>
      <c r="Y117" s="188">
        <f t="shared" si="31"/>
        <v>1.2</v>
      </c>
      <c r="Z117" s="188">
        <f t="shared" si="31"/>
        <v>1.2030000000000001</v>
      </c>
    </row>
    <row r="118" spans="1:26">
      <c r="C118" s="188">
        <f>C63</f>
        <v>1.1220000000000001</v>
      </c>
      <c r="D118" s="188">
        <f t="shared" ref="D118:Z118" si="32">D63</f>
        <v>1.125</v>
      </c>
      <c r="E118" s="188">
        <f t="shared" si="32"/>
        <v>1.129</v>
      </c>
      <c r="F118" s="188">
        <f t="shared" si="32"/>
        <v>1.1319999999999999</v>
      </c>
      <c r="G118" s="188">
        <f t="shared" si="32"/>
        <v>1.1359999999999999</v>
      </c>
      <c r="H118" s="188">
        <f t="shared" si="32"/>
        <v>1.1399999999999999</v>
      </c>
      <c r="I118" s="188">
        <f t="shared" si="32"/>
        <v>1.143</v>
      </c>
      <c r="J118" s="188">
        <f t="shared" si="32"/>
        <v>1.147</v>
      </c>
      <c r="K118" s="188">
        <f t="shared" si="32"/>
        <v>1.1499999999999999</v>
      </c>
      <c r="L118" s="188">
        <f t="shared" si="32"/>
        <v>1.1539999999999999</v>
      </c>
      <c r="M118" s="188">
        <f t="shared" si="32"/>
        <v>1.1579999999999999</v>
      </c>
      <c r="N118" s="188">
        <f t="shared" si="32"/>
        <v>1.161</v>
      </c>
      <c r="O118" s="188">
        <f t="shared" si="32"/>
        <v>1.165</v>
      </c>
      <c r="P118" s="188">
        <f t="shared" si="32"/>
        <v>1.1679999999999999</v>
      </c>
      <c r="Q118" s="188">
        <f t="shared" si="32"/>
        <v>1.1719999999999999</v>
      </c>
      <c r="R118" s="188">
        <f t="shared" si="32"/>
        <v>1.1759999999999999</v>
      </c>
      <c r="S118" s="188">
        <f t="shared" si="32"/>
        <v>1.179</v>
      </c>
      <c r="T118" s="188">
        <f t="shared" si="32"/>
        <v>1.1830000000000001</v>
      </c>
      <c r="U118" s="188">
        <f t="shared" si="32"/>
        <v>1.1859999999999999</v>
      </c>
      <c r="V118" s="188">
        <f t="shared" si="32"/>
        <v>1.19</v>
      </c>
      <c r="W118" s="188">
        <f t="shared" si="32"/>
        <v>1.1930000000000001</v>
      </c>
      <c r="X118" s="188">
        <f t="shared" si="32"/>
        <v>1.1970000000000001</v>
      </c>
      <c r="Y118" s="188">
        <f t="shared" si="32"/>
        <v>1.2</v>
      </c>
      <c r="Z118" s="188">
        <f t="shared" si="32"/>
        <v>1.2030000000000001</v>
      </c>
    </row>
    <row r="119" spans="1:26">
      <c r="A119" t="s">
        <v>787</v>
      </c>
      <c r="B119" t="s">
        <v>776</v>
      </c>
      <c r="C119" s="188">
        <f>C16</f>
        <v>1.9400000000000001E-2</v>
      </c>
      <c r="D119" s="188">
        <f t="shared" ref="D119:Z119" si="33">D16</f>
        <v>0.02</v>
      </c>
      <c r="E119" s="188">
        <f t="shared" si="33"/>
        <v>2.06E-2</v>
      </c>
      <c r="F119" s="188">
        <f t="shared" si="33"/>
        <v>2.12E-2</v>
      </c>
      <c r="G119" s="188">
        <f t="shared" si="33"/>
        <v>2.1700000000000001E-2</v>
      </c>
      <c r="H119" s="188">
        <f t="shared" si="33"/>
        <v>2.2200000000000001E-2</v>
      </c>
      <c r="I119" s="188">
        <f t="shared" si="33"/>
        <v>2.2700000000000001E-2</v>
      </c>
      <c r="J119" s="188">
        <f t="shared" si="33"/>
        <v>2.3199999999999998E-2</v>
      </c>
      <c r="K119" s="188">
        <f t="shared" si="33"/>
        <v>2.3699999999999999E-2</v>
      </c>
      <c r="L119" s="188">
        <f t="shared" si="33"/>
        <v>2.4199999999999999E-2</v>
      </c>
      <c r="M119" s="188">
        <f t="shared" si="33"/>
        <v>2.46E-2</v>
      </c>
      <c r="N119" s="188">
        <f t="shared" si="33"/>
        <v>2.5100000000000001E-2</v>
      </c>
      <c r="O119" s="188">
        <f t="shared" si="33"/>
        <v>2.5499999999999998E-2</v>
      </c>
      <c r="P119" s="188">
        <f t="shared" si="33"/>
        <v>2.5999999999999999E-2</v>
      </c>
      <c r="Q119" s="188">
        <f t="shared" si="33"/>
        <v>2.64E-2</v>
      </c>
      <c r="R119" s="188">
        <f t="shared" si="33"/>
        <v>2.6800000000000001E-2</v>
      </c>
      <c r="S119" s="188">
        <f t="shared" si="33"/>
        <v>2.7199999999999998E-2</v>
      </c>
      <c r="T119" s="188">
        <f t="shared" si="33"/>
        <v>2.7699999999999999E-2</v>
      </c>
      <c r="U119" s="188">
        <f t="shared" si="33"/>
        <v>2.81E-2</v>
      </c>
      <c r="V119" s="188">
        <f t="shared" si="33"/>
        <v>2.8500000000000001E-2</v>
      </c>
      <c r="W119" s="188">
        <f t="shared" si="33"/>
        <v>2.8899999999999999E-2</v>
      </c>
      <c r="X119" s="188">
        <f t="shared" si="33"/>
        <v>2.93E-2</v>
      </c>
      <c r="Y119" s="188">
        <f t="shared" si="33"/>
        <v>2.9700000000000001E-2</v>
      </c>
      <c r="Z119" s="188">
        <f t="shared" si="33"/>
        <v>3.0099999999999998E-2</v>
      </c>
    </row>
    <row r="120" spans="1:26">
      <c r="C120" s="188">
        <f>C40</f>
        <v>1.9400000000000001E-2</v>
      </c>
      <c r="D120" s="188">
        <f t="shared" ref="D120:Z120" si="34">D40</f>
        <v>0.02</v>
      </c>
      <c r="E120" s="188">
        <f t="shared" si="34"/>
        <v>2.06E-2</v>
      </c>
      <c r="F120" s="188">
        <f t="shared" si="34"/>
        <v>2.12E-2</v>
      </c>
      <c r="G120" s="188">
        <f t="shared" si="34"/>
        <v>2.1700000000000001E-2</v>
      </c>
      <c r="H120" s="188">
        <f t="shared" si="34"/>
        <v>2.2200000000000001E-2</v>
      </c>
      <c r="I120" s="188">
        <f t="shared" si="34"/>
        <v>2.2700000000000001E-2</v>
      </c>
      <c r="J120" s="188">
        <f t="shared" si="34"/>
        <v>2.3199999999999998E-2</v>
      </c>
      <c r="K120" s="188">
        <f t="shared" si="34"/>
        <v>2.3699999999999999E-2</v>
      </c>
      <c r="L120" s="188">
        <f t="shared" si="34"/>
        <v>2.4199999999999999E-2</v>
      </c>
      <c r="M120" s="188">
        <f t="shared" si="34"/>
        <v>2.46E-2</v>
      </c>
      <c r="N120" s="188">
        <f t="shared" si="34"/>
        <v>2.5100000000000001E-2</v>
      </c>
      <c r="O120" s="188">
        <f t="shared" si="34"/>
        <v>2.5499999999999998E-2</v>
      </c>
      <c r="P120" s="188">
        <f t="shared" si="34"/>
        <v>2.5999999999999999E-2</v>
      </c>
      <c r="Q120" s="188">
        <f t="shared" si="34"/>
        <v>2.64E-2</v>
      </c>
      <c r="R120" s="188">
        <f t="shared" si="34"/>
        <v>2.6800000000000001E-2</v>
      </c>
      <c r="S120" s="188">
        <f t="shared" si="34"/>
        <v>2.7199999999999998E-2</v>
      </c>
      <c r="T120" s="188">
        <f t="shared" si="34"/>
        <v>2.7699999999999999E-2</v>
      </c>
      <c r="U120" s="188">
        <f t="shared" si="34"/>
        <v>2.81E-2</v>
      </c>
      <c r="V120" s="188">
        <f t="shared" si="34"/>
        <v>2.8500000000000001E-2</v>
      </c>
      <c r="W120" s="188">
        <f t="shared" si="34"/>
        <v>2.8899999999999999E-2</v>
      </c>
      <c r="X120" s="188">
        <f t="shared" si="34"/>
        <v>2.93E-2</v>
      </c>
      <c r="Y120" s="188">
        <f t="shared" si="34"/>
        <v>2.9700000000000001E-2</v>
      </c>
      <c r="Z120" s="188">
        <f t="shared" si="34"/>
        <v>3.0099999999999998E-2</v>
      </c>
    </row>
    <row r="121" spans="1:26">
      <c r="C121" s="188">
        <f>C64</f>
        <v>1.9400000000000001E-2</v>
      </c>
      <c r="D121" s="188">
        <f t="shared" ref="D121:Z121" si="35">D64</f>
        <v>0.02</v>
      </c>
      <c r="E121" s="188">
        <f t="shared" si="35"/>
        <v>2.06E-2</v>
      </c>
      <c r="F121" s="188">
        <f t="shared" si="35"/>
        <v>2.12E-2</v>
      </c>
      <c r="G121" s="188">
        <f t="shared" si="35"/>
        <v>2.1700000000000001E-2</v>
      </c>
      <c r="H121" s="188">
        <f t="shared" si="35"/>
        <v>2.2200000000000001E-2</v>
      </c>
      <c r="I121" s="188">
        <f t="shared" si="35"/>
        <v>2.2700000000000001E-2</v>
      </c>
      <c r="J121" s="188">
        <f t="shared" si="35"/>
        <v>2.3199999999999998E-2</v>
      </c>
      <c r="K121" s="188">
        <f t="shared" si="35"/>
        <v>2.3699999999999999E-2</v>
      </c>
      <c r="L121" s="188">
        <f t="shared" si="35"/>
        <v>2.4199999999999999E-2</v>
      </c>
      <c r="M121" s="188">
        <f t="shared" si="35"/>
        <v>2.46E-2</v>
      </c>
      <c r="N121" s="188">
        <f t="shared" si="35"/>
        <v>2.5100000000000001E-2</v>
      </c>
      <c r="O121" s="188">
        <f t="shared" si="35"/>
        <v>2.5499999999999998E-2</v>
      </c>
      <c r="P121" s="188">
        <f t="shared" si="35"/>
        <v>2.5999999999999999E-2</v>
      </c>
      <c r="Q121" s="188">
        <f t="shared" si="35"/>
        <v>2.64E-2</v>
      </c>
      <c r="R121" s="188">
        <f t="shared" si="35"/>
        <v>2.6800000000000001E-2</v>
      </c>
      <c r="S121" s="188">
        <f t="shared" si="35"/>
        <v>2.7199999999999998E-2</v>
      </c>
      <c r="T121" s="188">
        <f t="shared" si="35"/>
        <v>2.7699999999999999E-2</v>
      </c>
      <c r="U121" s="188">
        <f t="shared" si="35"/>
        <v>2.81E-2</v>
      </c>
      <c r="V121" s="188">
        <f t="shared" si="35"/>
        <v>2.8500000000000001E-2</v>
      </c>
      <c r="W121" s="188">
        <f t="shared" si="35"/>
        <v>2.8899999999999999E-2</v>
      </c>
      <c r="X121" s="188">
        <f t="shared" si="35"/>
        <v>2.93E-2</v>
      </c>
      <c r="Y121" s="188">
        <f t="shared" si="35"/>
        <v>2.9700000000000001E-2</v>
      </c>
      <c r="Z121" s="188">
        <f t="shared" si="35"/>
        <v>3.0099999999999998E-2</v>
      </c>
    </row>
    <row r="122" spans="1:26">
      <c r="A122" t="s">
        <v>788</v>
      </c>
      <c r="B122" t="s">
        <v>778</v>
      </c>
      <c r="C122" s="188">
        <f>C17</f>
        <v>2.9100000000000001E-2</v>
      </c>
      <c r="D122" s="188">
        <f t="shared" ref="D122:Z122" si="36">D17</f>
        <v>0.03</v>
      </c>
      <c r="E122" s="188">
        <f t="shared" si="36"/>
        <v>3.09E-2</v>
      </c>
      <c r="F122" s="188">
        <f t="shared" si="36"/>
        <v>3.1899999999999998E-2</v>
      </c>
      <c r="G122" s="188">
        <f t="shared" si="36"/>
        <v>3.2800000000000003E-2</v>
      </c>
      <c r="H122" s="188">
        <f t="shared" si="36"/>
        <v>3.3700000000000001E-2</v>
      </c>
      <c r="I122" s="188">
        <f t="shared" si="36"/>
        <v>3.4599999999999999E-2</v>
      </c>
      <c r="J122" s="188">
        <f t="shared" si="36"/>
        <v>3.5499999999999997E-2</v>
      </c>
      <c r="K122" s="188">
        <f t="shared" si="36"/>
        <v>3.6400000000000002E-2</v>
      </c>
      <c r="L122" s="188">
        <f t="shared" si="36"/>
        <v>3.73E-2</v>
      </c>
      <c r="M122" s="188">
        <f t="shared" si="36"/>
        <v>3.8199999999999998E-2</v>
      </c>
      <c r="N122" s="188">
        <f t="shared" si="36"/>
        <v>3.9E-2</v>
      </c>
      <c r="O122" s="188">
        <f t="shared" si="36"/>
        <v>3.9899999999999998E-2</v>
      </c>
      <c r="P122" s="188">
        <f t="shared" si="36"/>
        <v>4.0800000000000003E-2</v>
      </c>
      <c r="Q122" s="188">
        <f t="shared" si="36"/>
        <v>4.1599999999999998E-2</v>
      </c>
      <c r="R122" s="188">
        <f t="shared" si="36"/>
        <v>4.2500000000000003E-2</v>
      </c>
      <c r="S122" s="188">
        <f t="shared" si="36"/>
        <v>4.3299999999999998E-2</v>
      </c>
      <c r="T122" s="188">
        <f t="shared" si="36"/>
        <v>4.4200000000000003E-2</v>
      </c>
      <c r="U122" s="188">
        <f t="shared" si="36"/>
        <v>4.4999999999999998E-2</v>
      </c>
      <c r="V122" s="188">
        <f t="shared" si="36"/>
        <v>4.58E-2</v>
      </c>
      <c r="W122" s="188">
        <f t="shared" si="36"/>
        <v>4.6699999999999998E-2</v>
      </c>
      <c r="X122" s="188">
        <f t="shared" si="36"/>
        <v>4.7500000000000001E-2</v>
      </c>
      <c r="Y122" s="188">
        <f t="shared" si="36"/>
        <v>4.8300000000000003E-2</v>
      </c>
      <c r="Z122" s="188">
        <f t="shared" si="36"/>
        <v>4.9099999999999998E-2</v>
      </c>
    </row>
    <row r="123" spans="1:26">
      <c r="C123" s="188">
        <f>C41</f>
        <v>2.9100000000000001E-2</v>
      </c>
      <c r="D123" s="188">
        <f t="shared" ref="D123:Z123" si="37">D41</f>
        <v>0.03</v>
      </c>
      <c r="E123" s="188">
        <f t="shared" si="37"/>
        <v>3.09E-2</v>
      </c>
      <c r="F123" s="188">
        <f t="shared" si="37"/>
        <v>3.1899999999999998E-2</v>
      </c>
      <c r="G123" s="188">
        <f t="shared" si="37"/>
        <v>3.2800000000000003E-2</v>
      </c>
      <c r="H123" s="188">
        <f t="shared" si="37"/>
        <v>3.3700000000000001E-2</v>
      </c>
      <c r="I123" s="188">
        <f t="shared" si="37"/>
        <v>3.4599999999999999E-2</v>
      </c>
      <c r="J123" s="188">
        <f t="shared" si="37"/>
        <v>3.5499999999999997E-2</v>
      </c>
      <c r="K123" s="188">
        <f t="shared" si="37"/>
        <v>3.6400000000000002E-2</v>
      </c>
      <c r="L123" s="188">
        <f t="shared" si="37"/>
        <v>3.73E-2</v>
      </c>
      <c r="M123" s="188">
        <f t="shared" si="37"/>
        <v>3.8199999999999998E-2</v>
      </c>
      <c r="N123" s="188">
        <f t="shared" si="37"/>
        <v>3.9E-2</v>
      </c>
      <c r="O123" s="188">
        <f t="shared" si="37"/>
        <v>3.9899999999999998E-2</v>
      </c>
      <c r="P123" s="188">
        <f t="shared" si="37"/>
        <v>4.0800000000000003E-2</v>
      </c>
      <c r="Q123" s="188">
        <f t="shared" si="37"/>
        <v>4.1599999999999998E-2</v>
      </c>
      <c r="R123" s="188">
        <f t="shared" si="37"/>
        <v>4.2500000000000003E-2</v>
      </c>
      <c r="S123" s="188">
        <f t="shared" si="37"/>
        <v>4.3299999999999998E-2</v>
      </c>
      <c r="T123" s="188">
        <f t="shared" si="37"/>
        <v>4.4200000000000003E-2</v>
      </c>
      <c r="U123" s="188">
        <f t="shared" si="37"/>
        <v>4.4999999999999998E-2</v>
      </c>
      <c r="V123" s="188">
        <f t="shared" si="37"/>
        <v>4.58E-2</v>
      </c>
      <c r="W123" s="188">
        <f t="shared" si="37"/>
        <v>4.6699999999999998E-2</v>
      </c>
      <c r="X123" s="188">
        <f t="shared" si="37"/>
        <v>4.7500000000000001E-2</v>
      </c>
      <c r="Y123" s="188">
        <f t="shared" si="37"/>
        <v>4.8300000000000003E-2</v>
      </c>
      <c r="Z123" s="188">
        <f t="shared" si="37"/>
        <v>4.9099999999999998E-2</v>
      </c>
    </row>
    <row r="124" spans="1:26">
      <c r="C124" s="188">
        <f>C65</f>
        <v>2.9100000000000001E-2</v>
      </c>
      <c r="D124" s="188">
        <f t="shared" ref="D124:Z124" si="38">D65</f>
        <v>0.03</v>
      </c>
      <c r="E124" s="188">
        <f t="shared" si="38"/>
        <v>3.09E-2</v>
      </c>
      <c r="F124" s="188">
        <f t="shared" si="38"/>
        <v>3.1899999999999998E-2</v>
      </c>
      <c r="G124" s="188">
        <f t="shared" si="38"/>
        <v>3.2800000000000003E-2</v>
      </c>
      <c r="H124" s="188">
        <f t="shared" si="38"/>
        <v>3.3700000000000001E-2</v>
      </c>
      <c r="I124" s="188">
        <f t="shared" si="38"/>
        <v>3.4599999999999999E-2</v>
      </c>
      <c r="J124" s="188">
        <f t="shared" si="38"/>
        <v>3.5499999999999997E-2</v>
      </c>
      <c r="K124" s="188">
        <f t="shared" si="38"/>
        <v>3.6400000000000002E-2</v>
      </c>
      <c r="L124" s="188">
        <f t="shared" si="38"/>
        <v>3.73E-2</v>
      </c>
      <c r="M124" s="188">
        <f t="shared" si="38"/>
        <v>3.8199999999999998E-2</v>
      </c>
      <c r="N124" s="188">
        <f t="shared" si="38"/>
        <v>3.9E-2</v>
      </c>
      <c r="O124" s="188">
        <f t="shared" si="38"/>
        <v>3.9899999999999998E-2</v>
      </c>
      <c r="P124" s="188">
        <f t="shared" si="38"/>
        <v>4.0800000000000003E-2</v>
      </c>
      <c r="Q124" s="188">
        <f t="shared" si="38"/>
        <v>4.1599999999999998E-2</v>
      </c>
      <c r="R124" s="188">
        <f t="shared" si="38"/>
        <v>4.2500000000000003E-2</v>
      </c>
      <c r="S124" s="188">
        <f t="shared" si="38"/>
        <v>4.3299999999999998E-2</v>
      </c>
      <c r="T124" s="188">
        <f t="shared" si="38"/>
        <v>4.4200000000000003E-2</v>
      </c>
      <c r="U124" s="188">
        <f t="shared" si="38"/>
        <v>4.4999999999999998E-2</v>
      </c>
      <c r="V124" s="188">
        <f t="shared" si="38"/>
        <v>4.58E-2</v>
      </c>
      <c r="W124" s="188">
        <f t="shared" si="38"/>
        <v>4.6699999999999998E-2</v>
      </c>
      <c r="X124" s="188">
        <f t="shared" si="38"/>
        <v>4.7500000000000001E-2</v>
      </c>
      <c r="Y124" s="188">
        <f t="shared" si="38"/>
        <v>4.8300000000000003E-2</v>
      </c>
      <c r="Z124" s="188">
        <f t="shared" si="38"/>
        <v>4.9099999999999998E-2</v>
      </c>
    </row>
    <row r="125" spans="1:26">
      <c r="A125" t="s">
        <v>789</v>
      </c>
      <c r="C125" s="188">
        <f>C18</f>
        <v>27.808769999999999</v>
      </c>
      <c r="D125" s="188">
        <f t="shared" ref="D125:Z125" si="39">D18</f>
        <v>27.808769999999999</v>
      </c>
      <c r="E125" s="188">
        <f t="shared" si="39"/>
        <v>27.808769999999999</v>
      </c>
      <c r="F125" s="188">
        <f t="shared" si="39"/>
        <v>27.808769999999999</v>
      </c>
      <c r="G125" s="188">
        <f t="shared" si="39"/>
        <v>27.808769999999999</v>
      </c>
      <c r="H125" s="188">
        <f t="shared" si="39"/>
        <v>27.808769999999999</v>
      </c>
      <c r="I125" s="188">
        <f t="shared" si="39"/>
        <v>27.808769999999999</v>
      </c>
      <c r="J125" s="188">
        <f t="shared" si="39"/>
        <v>27.808769999999999</v>
      </c>
      <c r="K125" s="188">
        <f t="shared" si="39"/>
        <v>27.808769999999999</v>
      </c>
      <c r="L125" s="188">
        <f t="shared" si="39"/>
        <v>27.808769999999999</v>
      </c>
      <c r="M125" s="188">
        <f t="shared" si="39"/>
        <v>27.808769999999999</v>
      </c>
      <c r="N125" s="188">
        <f t="shared" si="39"/>
        <v>27.808769999999999</v>
      </c>
      <c r="O125" s="188">
        <f t="shared" si="39"/>
        <v>27.808769999999999</v>
      </c>
      <c r="P125" s="188">
        <f t="shared" si="39"/>
        <v>27.808769999999999</v>
      </c>
      <c r="Q125" s="188">
        <f t="shared" si="39"/>
        <v>27.808769999999999</v>
      </c>
      <c r="R125" s="188">
        <f t="shared" si="39"/>
        <v>27.808769999999999</v>
      </c>
      <c r="S125" s="188">
        <f t="shared" si="39"/>
        <v>27.808769999999999</v>
      </c>
      <c r="T125" s="188">
        <f t="shared" si="39"/>
        <v>27.808769999999999</v>
      </c>
      <c r="U125" s="188">
        <f t="shared" si="39"/>
        <v>27.808769999999999</v>
      </c>
      <c r="V125" s="188">
        <f t="shared" si="39"/>
        <v>27.808769999999999</v>
      </c>
      <c r="W125" s="188">
        <f t="shared" si="39"/>
        <v>27.808769999999999</v>
      </c>
      <c r="X125" s="188">
        <f t="shared" si="39"/>
        <v>27.808769999999999</v>
      </c>
      <c r="Y125" s="188">
        <f t="shared" si="39"/>
        <v>27.808769999999999</v>
      </c>
      <c r="Z125" s="188">
        <f t="shared" si="39"/>
        <v>27.808769999999999</v>
      </c>
    </row>
    <row r="126" spans="1:26">
      <c r="C126" s="188">
        <f>C42</f>
        <v>27.808769999999999</v>
      </c>
      <c r="D126" s="188">
        <f t="shared" ref="D126:Z126" si="40">D42</f>
        <v>27.808769999999999</v>
      </c>
      <c r="E126" s="188">
        <f t="shared" si="40"/>
        <v>27.808769999999999</v>
      </c>
      <c r="F126" s="188">
        <f t="shared" si="40"/>
        <v>27.808769999999999</v>
      </c>
      <c r="G126" s="188">
        <f t="shared" si="40"/>
        <v>27.808769999999999</v>
      </c>
      <c r="H126" s="188">
        <f t="shared" si="40"/>
        <v>27.808769999999999</v>
      </c>
      <c r="I126" s="188">
        <f t="shared" si="40"/>
        <v>27.808769999999999</v>
      </c>
      <c r="J126" s="188">
        <f t="shared" si="40"/>
        <v>27.808769999999999</v>
      </c>
      <c r="K126" s="188">
        <f t="shared" si="40"/>
        <v>27.808769999999999</v>
      </c>
      <c r="L126" s="188">
        <f t="shared" si="40"/>
        <v>27.808769999999999</v>
      </c>
      <c r="M126" s="188">
        <f t="shared" si="40"/>
        <v>27.808769999999999</v>
      </c>
      <c r="N126" s="188">
        <f t="shared" si="40"/>
        <v>27.808769999999999</v>
      </c>
      <c r="O126" s="188">
        <f t="shared" si="40"/>
        <v>27.808769999999999</v>
      </c>
      <c r="P126" s="188">
        <f t="shared" si="40"/>
        <v>27.808769999999999</v>
      </c>
      <c r="Q126" s="188">
        <f t="shared" si="40"/>
        <v>27.808769999999999</v>
      </c>
      <c r="R126" s="188">
        <f t="shared" si="40"/>
        <v>27.808769999999999</v>
      </c>
      <c r="S126" s="188">
        <f t="shared" si="40"/>
        <v>27.808769999999999</v>
      </c>
      <c r="T126" s="188">
        <f t="shared" si="40"/>
        <v>27.808769999999999</v>
      </c>
      <c r="U126" s="188">
        <f t="shared" si="40"/>
        <v>27.808769999999999</v>
      </c>
      <c r="V126" s="188">
        <f t="shared" si="40"/>
        <v>27.808769999999999</v>
      </c>
      <c r="W126" s="188">
        <f t="shared" si="40"/>
        <v>27.808769999999999</v>
      </c>
      <c r="X126" s="188">
        <f t="shared" si="40"/>
        <v>27.808769999999999</v>
      </c>
      <c r="Y126" s="188">
        <f t="shared" si="40"/>
        <v>27.808769999999999</v>
      </c>
      <c r="Z126" s="188">
        <f t="shared" si="40"/>
        <v>27.808769999999999</v>
      </c>
    </row>
    <row r="127" spans="1:26">
      <c r="C127" s="188">
        <f>C66</f>
        <v>27.808769999999999</v>
      </c>
      <c r="D127" s="188">
        <f t="shared" ref="D127:Z127" si="41">D66</f>
        <v>27.808769999999999</v>
      </c>
      <c r="E127" s="188">
        <f t="shared" si="41"/>
        <v>27.808769999999999</v>
      </c>
      <c r="F127" s="188">
        <f t="shared" si="41"/>
        <v>27.808769999999999</v>
      </c>
      <c r="G127" s="188">
        <f t="shared" si="41"/>
        <v>27.808769999999999</v>
      </c>
      <c r="H127" s="188">
        <f t="shared" si="41"/>
        <v>27.808769999999999</v>
      </c>
      <c r="I127" s="188">
        <f t="shared" si="41"/>
        <v>27.808769999999999</v>
      </c>
      <c r="J127" s="188">
        <f t="shared" si="41"/>
        <v>27.808769999999999</v>
      </c>
      <c r="K127" s="188">
        <f t="shared" si="41"/>
        <v>27.808769999999999</v>
      </c>
      <c r="L127" s="188">
        <f t="shared" si="41"/>
        <v>27.808769999999999</v>
      </c>
      <c r="M127" s="188">
        <f t="shared" si="41"/>
        <v>27.808769999999999</v>
      </c>
      <c r="N127" s="188">
        <f t="shared" si="41"/>
        <v>27.808769999999999</v>
      </c>
      <c r="O127" s="188">
        <f t="shared" si="41"/>
        <v>27.808769999999999</v>
      </c>
      <c r="P127" s="188">
        <f t="shared" si="41"/>
        <v>27.808769999999999</v>
      </c>
      <c r="Q127" s="188">
        <f t="shared" si="41"/>
        <v>27.808769999999999</v>
      </c>
      <c r="R127" s="188">
        <f t="shared" si="41"/>
        <v>27.808769999999999</v>
      </c>
      <c r="S127" s="188">
        <f t="shared" si="41"/>
        <v>27.808769999999999</v>
      </c>
      <c r="T127" s="188">
        <f t="shared" si="41"/>
        <v>27.808769999999999</v>
      </c>
      <c r="U127" s="188">
        <f t="shared" si="41"/>
        <v>27.808769999999999</v>
      </c>
      <c r="V127" s="188">
        <f t="shared" si="41"/>
        <v>27.808769999999999</v>
      </c>
      <c r="W127" s="188">
        <f t="shared" si="41"/>
        <v>27.808769999999999</v>
      </c>
      <c r="X127" s="188">
        <f t="shared" si="41"/>
        <v>27.808769999999999</v>
      </c>
      <c r="Y127" s="188">
        <f t="shared" si="41"/>
        <v>27.808769999999999</v>
      </c>
      <c r="Z127" s="188">
        <f t="shared" si="41"/>
        <v>27.808769999999999</v>
      </c>
    </row>
    <row r="128" spans="1:26">
      <c r="A128" s="6" t="s">
        <v>790</v>
      </c>
      <c r="B128" s="6"/>
      <c r="C128" s="188">
        <f>C19</f>
        <v>0</v>
      </c>
      <c r="D128" s="188">
        <f t="shared" ref="D128:Z128" si="42">D19</f>
        <v>0</v>
      </c>
      <c r="E128" s="188">
        <f t="shared" si="42"/>
        <v>0</v>
      </c>
      <c r="F128" s="188">
        <f t="shared" si="42"/>
        <v>0</v>
      </c>
      <c r="G128" s="188">
        <f t="shared" si="42"/>
        <v>0</v>
      </c>
      <c r="H128" s="188">
        <f t="shared" si="42"/>
        <v>0</v>
      </c>
      <c r="I128" s="188">
        <f t="shared" si="42"/>
        <v>0</v>
      </c>
      <c r="J128" s="188">
        <f t="shared" si="42"/>
        <v>0</v>
      </c>
      <c r="K128" s="188">
        <f t="shared" si="42"/>
        <v>0</v>
      </c>
      <c r="L128" s="188">
        <f t="shared" si="42"/>
        <v>0</v>
      </c>
      <c r="M128" s="188">
        <f t="shared" si="42"/>
        <v>0</v>
      </c>
      <c r="N128" s="188">
        <f t="shared" si="42"/>
        <v>0</v>
      </c>
      <c r="O128" s="188">
        <f t="shared" si="42"/>
        <v>0</v>
      </c>
      <c r="P128" s="188">
        <f t="shared" si="42"/>
        <v>0</v>
      </c>
      <c r="Q128" s="188">
        <f t="shared" si="42"/>
        <v>0</v>
      </c>
      <c r="R128" s="188">
        <f t="shared" si="42"/>
        <v>0</v>
      </c>
      <c r="S128" s="188">
        <f t="shared" si="42"/>
        <v>0</v>
      </c>
      <c r="T128" s="188">
        <f t="shared" si="42"/>
        <v>0</v>
      </c>
      <c r="U128" s="188">
        <f t="shared" si="42"/>
        <v>0</v>
      </c>
      <c r="V128" s="188">
        <f t="shared" si="42"/>
        <v>0</v>
      </c>
      <c r="W128" s="188">
        <f t="shared" si="42"/>
        <v>0</v>
      </c>
      <c r="X128" s="188">
        <f t="shared" si="42"/>
        <v>0</v>
      </c>
      <c r="Y128" s="188">
        <f t="shared" si="42"/>
        <v>0</v>
      </c>
      <c r="Z128" s="188">
        <f t="shared" si="42"/>
        <v>0</v>
      </c>
    </row>
    <row r="129" spans="1:26">
      <c r="A129" s="6"/>
      <c r="B129" s="6"/>
      <c r="C129" s="188">
        <f>C43</f>
        <v>0</v>
      </c>
      <c r="D129" s="188">
        <f t="shared" ref="D129:Z129" si="43">D43</f>
        <v>0</v>
      </c>
      <c r="E129" s="188">
        <f t="shared" si="43"/>
        <v>0</v>
      </c>
      <c r="F129" s="188">
        <f t="shared" si="43"/>
        <v>0</v>
      </c>
      <c r="G129" s="188">
        <f t="shared" si="43"/>
        <v>0</v>
      </c>
      <c r="H129" s="188">
        <f t="shared" si="43"/>
        <v>0</v>
      </c>
      <c r="I129" s="188">
        <f t="shared" si="43"/>
        <v>0</v>
      </c>
      <c r="J129" s="188">
        <f t="shared" si="43"/>
        <v>0</v>
      </c>
      <c r="K129" s="188">
        <f t="shared" si="43"/>
        <v>0</v>
      </c>
      <c r="L129" s="188">
        <f t="shared" si="43"/>
        <v>0</v>
      </c>
      <c r="M129" s="188">
        <f t="shared" si="43"/>
        <v>0</v>
      </c>
      <c r="N129" s="188">
        <f t="shared" si="43"/>
        <v>0</v>
      </c>
      <c r="O129" s="188">
        <f t="shared" si="43"/>
        <v>0</v>
      </c>
      <c r="P129" s="188">
        <f t="shared" si="43"/>
        <v>0</v>
      </c>
      <c r="Q129" s="188">
        <f t="shared" si="43"/>
        <v>0</v>
      </c>
      <c r="R129" s="188">
        <f t="shared" si="43"/>
        <v>0</v>
      </c>
      <c r="S129" s="188">
        <f t="shared" si="43"/>
        <v>0</v>
      </c>
      <c r="T129" s="188">
        <f t="shared" si="43"/>
        <v>0</v>
      </c>
      <c r="U129" s="188">
        <f t="shared" si="43"/>
        <v>0</v>
      </c>
      <c r="V129" s="188">
        <f t="shared" si="43"/>
        <v>0</v>
      </c>
      <c r="W129" s="188">
        <f t="shared" si="43"/>
        <v>0</v>
      </c>
      <c r="X129" s="188">
        <f t="shared" si="43"/>
        <v>0</v>
      </c>
      <c r="Y129" s="188">
        <f t="shared" si="43"/>
        <v>0</v>
      </c>
      <c r="Z129" s="188">
        <f t="shared" si="43"/>
        <v>0</v>
      </c>
    </row>
    <row r="130" spans="1:26">
      <c r="A130" s="6"/>
      <c r="B130" s="6"/>
      <c r="C130" s="188">
        <f>C67</f>
        <v>0</v>
      </c>
      <c r="D130" s="188">
        <f t="shared" ref="D130:Z130" si="44">D67</f>
        <v>0</v>
      </c>
      <c r="E130" s="188">
        <f t="shared" si="44"/>
        <v>0</v>
      </c>
      <c r="F130" s="188">
        <f t="shared" si="44"/>
        <v>0</v>
      </c>
      <c r="G130" s="188">
        <f t="shared" si="44"/>
        <v>0</v>
      </c>
      <c r="H130" s="188">
        <f t="shared" si="44"/>
        <v>0</v>
      </c>
      <c r="I130" s="188">
        <f t="shared" si="44"/>
        <v>0</v>
      </c>
      <c r="J130" s="188">
        <f t="shared" si="44"/>
        <v>0</v>
      </c>
      <c r="K130" s="188">
        <f t="shared" si="44"/>
        <v>0</v>
      </c>
      <c r="L130" s="188">
        <f t="shared" si="44"/>
        <v>0</v>
      </c>
      <c r="M130" s="188">
        <f t="shared" si="44"/>
        <v>0</v>
      </c>
      <c r="N130" s="188">
        <f t="shared" si="44"/>
        <v>0</v>
      </c>
      <c r="O130" s="188">
        <f t="shared" si="44"/>
        <v>0</v>
      </c>
      <c r="P130" s="188">
        <f t="shared" si="44"/>
        <v>0</v>
      </c>
      <c r="Q130" s="188">
        <f t="shared" si="44"/>
        <v>0</v>
      </c>
      <c r="R130" s="188">
        <f t="shared" si="44"/>
        <v>0</v>
      </c>
      <c r="S130" s="188">
        <f t="shared" si="44"/>
        <v>0</v>
      </c>
      <c r="T130" s="188">
        <f t="shared" si="44"/>
        <v>0</v>
      </c>
      <c r="U130" s="188">
        <f t="shared" si="44"/>
        <v>0</v>
      </c>
      <c r="V130" s="188">
        <f t="shared" si="44"/>
        <v>0</v>
      </c>
      <c r="W130" s="188">
        <f t="shared" si="44"/>
        <v>0</v>
      </c>
      <c r="X130" s="188">
        <f t="shared" si="44"/>
        <v>0</v>
      </c>
      <c r="Y130" s="188">
        <f t="shared" si="44"/>
        <v>0</v>
      </c>
      <c r="Z130" s="188">
        <f t="shared" si="44"/>
        <v>0</v>
      </c>
    </row>
    <row r="131" spans="1:26">
      <c r="A131" t="s">
        <v>922</v>
      </c>
      <c r="B131" t="s">
        <v>102</v>
      </c>
      <c r="C131" s="188">
        <f>C20</f>
        <v>0</v>
      </c>
      <c r="D131" s="188">
        <f t="shared" ref="D131:Z131" si="45">D20</f>
        <v>0</v>
      </c>
      <c r="E131" s="188">
        <f t="shared" si="45"/>
        <v>0</v>
      </c>
      <c r="F131" s="188">
        <f t="shared" si="45"/>
        <v>0</v>
      </c>
      <c r="G131" s="188">
        <f t="shared" si="45"/>
        <v>0</v>
      </c>
      <c r="H131" s="188">
        <f t="shared" si="45"/>
        <v>0</v>
      </c>
      <c r="I131" s="188">
        <f t="shared" si="45"/>
        <v>0</v>
      </c>
      <c r="J131" s="188">
        <f t="shared" si="45"/>
        <v>0</v>
      </c>
      <c r="K131" s="188">
        <f t="shared" si="45"/>
        <v>0</v>
      </c>
      <c r="L131" s="188">
        <f t="shared" si="45"/>
        <v>0</v>
      </c>
      <c r="M131" s="188">
        <f t="shared" si="45"/>
        <v>0</v>
      </c>
      <c r="N131" s="188">
        <f t="shared" si="45"/>
        <v>0</v>
      </c>
      <c r="O131" s="188">
        <f t="shared" si="45"/>
        <v>0</v>
      </c>
      <c r="P131" s="188">
        <f t="shared" si="45"/>
        <v>0</v>
      </c>
      <c r="Q131" s="188">
        <f t="shared" si="45"/>
        <v>0</v>
      </c>
      <c r="R131" s="188">
        <f t="shared" si="45"/>
        <v>0</v>
      </c>
      <c r="S131" s="188">
        <f t="shared" si="45"/>
        <v>0</v>
      </c>
      <c r="T131" s="188">
        <f t="shared" si="45"/>
        <v>0</v>
      </c>
      <c r="U131" s="188">
        <f t="shared" si="45"/>
        <v>0</v>
      </c>
      <c r="V131" s="188">
        <f t="shared" si="45"/>
        <v>0</v>
      </c>
      <c r="W131" s="188">
        <f t="shared" si="45"/>
        <v>0</v>
      </c>
      <c r="X131" s="188">
        <f t="shared" si="45"/>
        <v>0</v>
      </c>
      <c r="Y131" s="188">
        <f t="shared" si="45"/>
        <v>0</v>
      </c>
      <c r="Z131" s="188">
        <f t="shared" si="45"/>
        <v>0</v>
      </c>
    </row>
    <row r="132" spans="1:26">
      <c r="C132" s="188">
        <f>C44</f>
        <v>0</v>
      </c>
      <c r="D132" s="188">
        <f t="shared" ref="D132:Z132" si="46">D44</f>
        <v>0</v>
      </c>
      <c r="E132" s="188">
        <f t="shared" si="46"/>
        <v>0</v>
      </c>
      <c r="F132" s="188">
        <f t="shared" si="46"/>
        <v>0</v>
      </c>
      <c r="G132" s="188">
        <f t="shared" si="46"/>
        <v>0</v>
      </c>
      <c r="H132" s="188">
        <f t="shared" si="46"/>
        <v>0</v>
      </c>
      <c r="I132" s="188">
        <f t="shared" si="46"/>
        <v>0</v>
      </c>
      <c r="J132" s="188">
        <f t="shared" si="46"/>
        <v>0</v>
      </c>
      <c r="K132" s="188">
        <f t="shared" si="46"/>
        <v>0</v>
      </c>
      <c r="L132" s="188">
        <f t="shared" si="46"/>
        <v>0</v>
      </c>
      <c r="M132" s="188">
        <f t="shared" si="46"/>
        <v>0</v>
      </c>
      <c r="N132" s="188">
        <f t="shared" si="46"/>
        <v>0</v>
      </c>
      <c r="O132" s="188">
        <f t="shared" si="46"/>
        <v>0</v>
      </c>
      <c r="P132" s="188">
        <f t="shared" si="46"/>
        <v>0</v>
      </c>
      <c r="Q132" s="188">
        <f t="shared" si="46"/>
        <v>0</v>
      </c>
      <c r="R132" s="188">
        <f t="shared" si="46"/>
        <v>0</v>
      </c>
      <c r="S132" s="188">
        <f t="shared" si="46"/>
        <v>0</v>
      </c>
      <c r="T132" s="188">
        <f t="shared" si="46"/>
        <v>0</v>
      </c>
      <c r="U132" s="188">
        <f t="shared" si="46"/>
        <v>0</v>
      </c>
      <c r="V132" s="188">
        <f t="shared" si="46"/>
        <v>0</v>
      </c>
      <c r="W132" s="188">
        <f t="shared" si="46"/>
        <v>0</v>
      </c>
      <c r="X132" s="188">
        <f t="shared" si="46"/>
        <v>0</v>
      </c>
      <c r="Y132" s="188">
        <f t="shared" si="46"/>
        <v>0</v>
      </c>
      <c r="Z132" s="188">
        <f t="shared" si="46"/>
        <v>0</v>
      </c>
    </row>
    <row r="133" spans="1:26">
      <c r="C133" s="188">
        <f>C68</f>
        <v>0</v>
      </c>
      <c r="D133" s="188">
        <f t="shared" ref="D133:Z133" si="47">D68</f>
        <v>0</v>
      </c>
      <c r="E133" s="188">
        <f t="shared" si="47"/>
        <v>0</v>
      </c>
      <c r="F133" s="188">
        <f t="shared" si="47"/>
        <v>0</v>
      </c>
      <c r="G133" s="188">
        <f t="shared" si="47"/>
        <v>0</v>
      </c>
      <c r="H133" s="188">
        <f t="shared" si="47"/>
        <v>0</v>
      </c>
      <c r="I133" s="188">
        <f t="shared" si="47"/>
        <v>0</v>
      </c>
      <c r="J133" s="188">
        <f t="shared" si="47"/>
        <v>0</v>
      </c>
      <c r="K133" s="188">
        <f t="shared" si="47"/>
        <v>0</v>
      </c>
      <c r="L133" s="188">
        <f t="shared" si="47"/>
        <v>0</v>
      </c>
      <c r="M133" s="188">
        <f t="shared" si="47"/>
        <v>0</v>
      </c>
      <c r="N133" s="188">
        <f t="shared" si="47"/>
        <v>0</v>
      </c>
      <c r="O133" s="188">
        <f t="shared" si="47"/>
        <v>0</v>
      </c>
      <c r="P133" s="188">
        <f t="shared" si="47"/>
        <v>0</v>
      </c>
      <c r="Q133" s="188">
        <f t="shared" si="47"/>
        <v>0</v>
      </c>
      <c r="R133" s="188">
        <f t="shared" si="47"/>
        <v>0</v>
      </c>
      <c r="S133" s="188">
        <f t="shared" si="47"/>
        <v>0</v>
      </c>
      <c r="T133" s="188">
        <f t="shared" si="47"/>
        <v>0</v>
      </c>
      <c r="U133" s="188">
        <f t="shared" si="47"/>
        <v>0</v>
      </c>
      <c r="V133" s="188">
        <f t="shared" si="47"/>
        <v>0</v>
      </c>
      <c r="W133" s="188">
        <f t="shared" si="47"/>
        <v>0</v>
      </c>
      <c r="X133" s="188">
        <f t="shared" si="47"/>
        <v>0</v>
      </c>
      <c r="Y133" s="188">
        <f t="shared" si="47"/>
        <v>0</v>
      </c>
      <c r="Z133" s="188">
        <f t="shared" si="47"/>
        <v>0</v>
      </c>
    </row>
    <row r="134" spans="1:26">
      <c r="A134" t="s">
        <v>791</v>
      </c>
      <c r="B134" t="s">
        <v>774</v>
      </c>
      <c r="C134" s="188">
        <f>C21</f>
        <v>0</v>
      </c>
      <c r="D134" s="188">
        <f t="shared" ref="D134:Z134" si="48">D21</f>
        <v>0</v>
      </c>
      <c r="E134" s="188">
        <f t="shared" si="48"/>
        <v>0</v>
      </c>
      <c r="F134" s="188">
        <f t="shared" si="48"/>
        <v>0</v>
      </c>
      <c r="G134" s="188">
        <f t="shared" si="48"/>
        <v>0</v>
      </c>
      <c r="H134" s="188">
        <f t="shared" si="48"/>
        <v>0</v>
      </c>
      <c r="I134" s="188">
        <f t="shared" si="48"/>
        <v>0</v>
      </c>
      <c r="J134" s="188">
        <f t="shared" si="48"/>
        <v>0</v>
      </c>
      <c r="K134" s="188">
        <f t="shared" si="48"/>
        <v>0</v>
      </c>
      <c r="L134" s="188">
        <f t="shared" si="48"/>
        <v>0</v>
      </c>
      <c r="M134" s="188">
        <f t="shared" si="48"/>
        <v>0</v>
      </c>
      <c r="N134" s="188">
        <f t="shared" si="48"/>
        <v>0</v>
      </c>
      <c r="O134" s="188">
        <f t="shared" si="48"/>
        <v>0</v>
      </c>
      <c r="P134" s="188">
        <f t="shared" si="48"/>
        <v>0</v>
      </c>
      <c r="Q134" s="188">
        <f t="shared" si="48"/>
        <v>0</v>
      </c>
      <c r="R134" s="188">
        <f t="shared" si="48"/>
        <v>0</v>
      </c>
      <c r="S134" s="188">
        <f t="shared" si="48"/>
        <v>0</v>
      </c>
      <c r="T134" s="188">
        <f t="shared" si="48"/>
        <v>0</v>
      </c>
      <c r="U134" s="188">
        <f t="shared" si="48"/>
        <v>0</v>
      </c>
      <c r="V134" s="188">
        <f t="shared" si="48"/>
        <v>0</v>
      </c>
      <c r="W134" s="188">
        <f t="shared" si="48"/>
        <v>0</v>
      </c>
      <c r="X134" s="188">
        <f t="shared" si="48"/>
        <v>0</v>
      </c>
      <c r="Y134" s="188">
        <f t="shared" si="48"/>
        <v>0</v>
      </c>
      <c r="Z134" s="188">
        <f t="shared" si="48"/>
        <v>0</v>
      </c>
    </row>
    <row r="135" spans="1:26">
      <c r="C135" s="188">
        <f>C45</f>
        <v>0</v>
      </c>
      <c r="D135" s="188">
        <f t="shared" ref="D135:Z135" si="49">D45</f>
        <v>0</v>
      </c>
      <c r="E135" s="188">
        <f t="shared" si="49"/>
        <v>0</v>
      </c>
      <c r="F135" s="188">
        <f t="shared" si="49"/>
        <v>0</v>
      </c>
      <c r="G135" s="188">
        <f t="shared" si="49"/>
        <v>0</v>
      </c>
      <c r="H135" s="188">
        <f t="shared" si="49"/>
        <v>0</v>
      </c>
      <c r="I135" s="188">
        <f t="shared" si="49"/>
        <v>0</v>
      </c>
      <c r="J135" s="188">
        <f t="shared" si="49"/>
        <v>0</v>
      </c>
      <c r="K135" s="188">
        <f t="shared" si="49"/>
        <v>0</v>
      </c>
      <c r="L135" s="188">
        <f t="shared" si="49"/>
        <v>0</v>
      </c>
      <c r="M135" s="188">
        <f t="shared" si="49"/>
        <v>0</v>
      </c>
      <c r="N135" s="188">
        <f t="shared" si="49"/>
        <v>0</v>
      </c>
      <c r="O135" s="188">
        <f t="shared" si="49"/>
        <v>0</v>
      </c>
      <c r="P135" s="188">
        <f t="shared" si="49"/>
        <v>0</v>
      </c>
      <c r="Q135" s="188">
        <f t="shared" si="49"/>
        <v>0</v>
      </c>
      <c r="R135" s="188">
        <f t="shared" si="49"/>
        <v>0</v>
      </c>
      <c r="S135" s="188">
        <f t="shared" si="49"/>
        <v>0</v>
      </c>
      <c r="T135" s="188">
        <f t="shared" si="49"/>
        <v>0</v>
      </c>
      <c r="U135" s="188">
        <f t="shared" si="49"/>
        <v>0</v>
      </c>
      <c r="V135" s="188">
        <f t="shared" si="49"/>
        <v>0</v>
      </c>
      <c r="W135" s="188">
        <f t="shared" si="49"/>
        <v>0</v>
      </c>
      <c r="X135" s="188">
        <f t="shared" si="49"/>
        <v>0</v>
      </c>
      <c r="Y135" s="188">
        <f t="shared" si="49"/>
        <v>0</v>
      </c>
      <c r="Z135" s="188">
        <f t="shared" si="49"/>
        <v>0</v>
      </c>
    </row>
    <row r="136" spans="1:26">
      <c r="C136" s="188">
        <f>C63</f>
        <v>1.1220000000000001</v>
      </c>
      <c r="D136" s="188">
        <f t="shared" ref="D136:Z136" si="50">D63</f>
        <v>1.125</v>
      </c>
      <c r="E136" s="188">
        <f t="shared" si="50"/>
        <v>1.129</v>
      </c>
      <c r="F136" s="188">
        <f t="shared" si="50"/>
        <v>1.1319999999999999</v>
      </c>
      <c r="G136" s="188">
        <f t="shared" si="50"/>
        <v>1.1359999999999999</v>
      </c>
      <c r="H136" s="188">
        <f t="shared" si="50"/>
        <v>1.1399999999999999</v>
      </c>
      <c r="I136" s="188">
        <f t="shared" si="50"/>
        <v>1.143</v>
      </c>
      <c r="J136" s="188">
        <f t="shared" si="50"/>
        <v>1.147</v>
      </c>
      <c r="K136" s="188">
        <f t="shared" si="50"/>
        <v>1.1499999999999999</v>
      </c>
      <c r="L136" s="188">
        <f t="shared" si="50"/>
        <v>1.1539999999999999</v>
      </c>
      <c r="M136" s="188">
        <f t="shared" si="50"/>
        <v>1.1579999999999999</v>
      </c>
      <c r="N136" s="188">
        <f t="shared" si="50"/>
        <v>1.161</v>
      </c>
      <c r="O136" s="188">
        <f t="shared" si="50"/>
        <v>1.165</v>
      </c>
      <c r="P136" s="188">
        <f t="shared" si="50"/>
        <v>1.1679999999999999</v>
      </c>
      <c r="Q136" s="188">
        <f t="shared" si="50"/>
        <v>1.1719999999999999</v>
      </c>
      <c r="R136" s="188">
        <f t="shared" si="50"/>
        <v>1.1759999999999999</v>
      </c>
      <c r="S136" s="188">
        <f t="shared" si="50"/>
        <v>1.179</v>
      </c>
      <c r="T136" s="188">
        <f t="shared" si="50"/>
        <v>1.1830000000000001</v>
      </c>
      <c r="U136" s="188">
        <f t="shared" si="50"/>
        <v>1.1859999999999999</v>
      </c>
      <c r="V136" s="188">
        <f t="shared" si="50"/>
        <v>1.19</v>
      </c>
      <c r="W136" s="188">
        <f t="shared" si="50"/>
        <v>1.1930000000000001</v>
      </c>
      <c r="X136" s="188">
        <f t="shared" si="50"/>
        <v>1.1970000000000001</v>
      </c>
      <c r="Y136" s="188">
        <f t="shared" si="50"/>
        <v>1.2</v>
      </c>
      <c r="Z136" s="188">
        <f t="shared" si="50"/>
        <v>1.2030000000000001</v>
      </c>
    </row>
    <row r="137" spans="1:26">
      <c r="A137" t="s">
        <v>792</v>
      </c>
      <c r="B137" t="s">
        <v>776</v>
      </c>
      <c r="C137" s="188">
        <f>C22</f>
        <v>0</v>
      </c>
      <c r="D137" s="188">
        <f t="shared" ref="D137:Z137" si="51">D22</f>
        <v>0</v>
      </c>
      <c r="E137" s="188">
        <f t="shared" si="51"/>
        <v>0</v>
      </c>
      <c r="F137" s="188">
        <f t="shared" si="51"/>
        <v>0</v>
      </c>
      <c r="G137" s="188">
        <f t="shared" si="51"/>
        <v>0</v>
      </c>
      <c r="H137" s="188">
        <f t="shared" si="51"/>
        <v>0</v>
      </c>
      <c r="I137" s="188">
        <f t="shared" si="51"/>
        <v>0</v>
      </c>
      <c r="J137" s="188">
        <f t="shared" si="51"/>
        <v>0</v>
      </c>
      <c r="K137" s="188">
        <f t="shared" si="51"/>
        <v>0</v>
      </c>
      <c r="L137" s="188">
        <f t="shared" si="51"/>
        <v>0</v>
      </c>
      <c r="M137" s="188">
        <f t="shared" si="51"/>
        <v>0</v>
      </c>
      <c r="N137" s="188">
        <f t="shared" si="51"/>
        <v>0</v>
      </c>
      <c r="O137" s="188">
        <f t="shared" si="51"/>
        <v>0</v>
      </c>
      <c r="P137" s="188">
        <f t="shared" si="51"/>
        <v>0</v>
      </c>
      <c r="Q137" s="188">
        <f t="shared" si="51"/>
        <v>0</v>
      </c>
      <c r="R137" s="188">
        <f t="shared" si="51"/>
        <v>0</v>
      </c>
      <c r="S137" s="188">
        <f t="shared" si="51"/>
        <v>0</v>
      </c>
      <c r="T137" s="188">
        <f t="shared" si="51"/>
        <v>0</v>
      </c>
      <c r="U137" s="188">
        <f t="shared" si="51"/>
        <v>0</v>
      </c>
      <c r="V137" s="188">
        <f t="shared" si="51"/>
        <v>0</v>
      </c>
      <c r="W137" s="188">
        <f t="shared" si="51"/>
        <v>0</v>
      </c>
      <c r="X137" s="188">
        <f t="shared" si="51"/>
        <v>0</v>
      </c>
      <c r="Y137" s="188">
        <f t="shared" si="51"/>
        <v>0</v>
      </c>
      <c r="Z137" s="188">
        <f t="shared" si="51"/>
        <v>0</v>
      </c>
    </row>
    <row r="138" spans="1:26">
      <c r="C138" s="188">
        <f>C46</f>
        <v>0</v>
      </c>
      <c r="D138" s="188">
        <f t="shared" ref="D138:Z138" si="52">D46</f>
        <v>0</v>
      </c>
      <c r="E138" s="188">
        <f t="shared" si="52"/>
        <v>0</v>
      </c>
      <c r="F138" s="188">
        <f t="shared" si="52"/>
        <v>0</v>
      </c>
      <c r="G138" s="188">
        <f t="shared" si="52"/>
        <v>0</v>
      </c>
      <c r="H138" s="188">
        <f t="shared" si="52"/>
        <v>0</v>
      </c>
      <c r="I138" s="188">
        <f t="shared" si="52"/>
        <v>0</v>
      </c>
      <c r="J138" s="188">
        <f t="shared" si="52"/>
        <v>0</v>
      </c>
      <c r="K138" s="188">
        <f t="shared" si="52"/>
        <v>0</v>
      </c>
      <c r="L138" s="188">
        <f t="shared" si="52"/>
        <v>0</v>
      </c>
      <c r="M138" s="188">
        <f t="shared" si="52"/>
        <v>0</v>
      </c>
      <c r="N138" s="188">
        <f t="shared" si="52"/>
        <v>0</v>
      </c>
      <c r="O138" s="188">
        <f t="shared" si="52"/>
        <v>0</v>
      </c>
      <c r="P138" s="188">
        <f t="shared" si="52"/>
        <v>0</v>
      </c>
      <c r="Q138" s="188">
        <f t="shared" si="52"/>
        <v>0</v>
      </c>
      <c r="R138" s="188">
        <f t="shared" si="52"/>
        <v>0</v>
      </c>
      <c r="S138" s="188">
        <f t="shared" si="52"/>
        <v>0</v>
      </c>
      <c r="T138" s="188">
        <f t="shared" si="52"/>
        <v>0</v>
      </c>
      <c r="U138" s="188">
        <f t="shared" si="52"/>
        <v>0</v>
      </c>
      <c r="V138" s="188">
        <f t="shared" si="52"/>
        <v>0</v>
      </c>
      <c r="W138" s="188">
        <f t="shared" si="52"/>
        <v>0</v>
      </c>
      <c r="X138" s="188">
        <f t="shared" si="52"/>
        <v>0</v>
      </c>
      <c r="Y138" s="188">
        <f t="shared" si="52"/>
        <v>0</v>
      </c>
      <c r="Z138" s="188">
        <f t="shared" si="52"/>
        <v>0</v>
      </c>
    </row>
    <row r="139" spans="1:26">
      <c r="C139" s="188">
        <f>C70</f>
        <v>0</v>
      </c>
      <c r="D139" s="188">
        <f t="shared" ref="D139:Z139" si="53">D70</f>
        <v>0</v>
      </c>
      <c r="E139" s="188">
        <f t="shared" si="53"/>
        <v>0</v>
      </c>
      <c r="F139" s="188">
        <f t="shared" si="53"/>
        <v>0</v>
      </c>
      <c r="G139" s="188">
        <f t="shared" si="53"/>
        <v>0</v>
      </c>
      <c r="H139" s="188">
        <f t="shared" si="53"/>
        <v>0</v>
      </c>
      <c r="I139" s="188">
        <f t="shared" si="53"/>
        <v>0</v>
      </c>
      <c r="J139" s="188">
        <f t="shared" si="53"/>
        <v>0</v>
      </c>
      <c r="K139" s="188">
        <f t="shared" si="53"/>
        <v>0</v>
      </c>
      <c r="L139" s="188">
        <f t="shared" si="53"/>
        <v>0</v>
      </c>
      <c r="M139" s="188">
        <f t="shared" si="53"/>
        <v>0</v>
      </c>
      <c r="N139" s="188">
        <f t="shared" si="53"/>
        <v>0</v>
      </c>
      <c r="O139" s="188">
        <f t="shared" si="53"/>
        <v>0</v>
      </c>
      <c r="P139" s="188">
        <f t="shared" si="53"/>
        <v>0</v>
      </c>
      <c r="Q139" s="188">
        <f t="shared" si="53"/>
        <v>0</v>
      </c>
      <c r="R139" s="188">
        <f t="shared" si="53"/>
        <v>0</v>
      </c>
      <c r="S139" s="188">
        <f t="shared" si="53"/>
        <v>0</v>
      </c>
      <c r="T139" s="188">
        <f t="shared" si="53"/>
        <v>0</v>
      </c>
      <c r="U139" s="188">
        <f t="shared" si="53"/>
        <v>0</v>
      </c>
      <c r="V139" s="188">
        <f t="shared" si="53"/>
        <v>0</v>
      </c>
      <c r="W139" s="188">
        <f t="shared" si="53"/>
        <v>0</v>
      </c>
      <c r="X139" s="188">
        <f t="shared" si="53"/>
        <v>0</v>
      </c>
      <c r="Y139" s="188">
        <f t="shared" si="53"/>
        <v>0</v>
      </c>
      <c r="Z139" s="188">
        <f t="shared" si="53"/>
        <v>0</v>
      </c>
    </row>
    <row r="140" spans="1:26">
      <c r="A140" t="s">
        <v>793</v>
      </c>
      <c r="B140" t="s">
        <v>778</v>
      </c>
      <c r="C140" s="188">
        <f>C23</f>
        <v>0</v>
      </c>
      <c r="D140" s="188">
        <f t="shared" ref="D140:Z140" si="54">D23</f>
        <v>0</v>
      </c>
      <c r="E140" s="188">
        <f t="shared" si="54"/>
        <v>0</v>
      </c>
      <c r="F140" s="188">
        <f t="shared" si="54"/>
        <v>0</v>
      </c>
      <c r="G140" s="188">
        <f t="shared" si="54"/>
        <v>0</v>
      </c>
      <c r="H140" s="188">
        <f t="shared" si="54"/>
        <v>0</v>
      </c>
      <c r="I140" s="188">
        <f t="shared" si="54"/>
        <v>0</v>
      </c>
      <c r="J140" s="188">
        <f t="shared" si="54"/>
        <v>0</v>
      </c>
      <c r="K140" s="188">
        <f t="shared" si="54"/>
        <v>0</v>
      </c>
      <c r="L140" s="188">
        <f t="shared" si="54"/>
        <v>0</v>
      </c>
      <c r="M140" s="188">
        <f t="shared" si="54"/>
        <v>0</v>
      </c>
      <c r="N140" s="188">
        <f t="shared" si="54"/>
        <v>0</v>
      </c>
      <c r="O140" s="188">
        <f t="shared" si="54"/>
        <v>0</v>
      </c>
      <c r="P140" s="188">
        <f t="shared" si="54"/>
        <v>0</v>
      </c>
      <c r="Q140" s="188">
        <f t="shared" si="54"/>
        <v>0</v>
      </c>
      <c r="R140" s="188">
        <f t="shared" si="54"/>
        <v>0</v>
      </c>
      <c r="S140" s="188">
        <f t="shared" si="54"/>
        <v>0</v>
      </c>
      <c r="T140" s="188">
        <f t="shared" si="54"/>
        <v>0</v>
      </c>
      <c r="U140" s="188">
        <f t="shared" si="54"/>
        <v>0</v>
      </c>
      <c r="V140" s="188">
        <f t="shared" si="54"/>
        <v>0</v>
      </c>
      <c r="W140" s="188">
        <f t="shared" si="54"/>
        <v>0</v>
      </c>
      <c r="X140" s="188">
        <f t="shared" si="54"/>
        <v>0</v>
      </c>
      <c r="Y140" s="188">
        <f t="shared" si="54"/>
        <v>0</v>
      </c>
      <c r="Z140" s="188">
        <f t="shared" si="54"/>
        <v>0</v>
      </c>
    </row>
    <row r="141" spans="1:26">
      <c r="C141" s="188">
        <f>C47</f>
        <v>0</v>
      </c>
      <c r="D141" s="188">
        <f t="shared" ref="D141:Z141" si="55">D47</f>
        <v>0</v>
      </c>
      <c r="E141" s="188">
        <f t="shared" si="55"/>
        <v>0</v>
      </c>
      <c r="F141" s="188">
        <f t="shared" si="55"/>
        <v>0</v>
      </c>
      <c r="G141" s="188">
        <f t="shared" si="55"/>
        <v>0</v>
      </c>
      <c r="H141" s="188">
        <f t="shared" si="55"/>
        <v>0</v>
      </c>
      <c r="I141" s="188">
        <f t="shared" si="55"/>
        <v>0</v>
      </c>
      <c r="J141" s="188">
        <f t="shared" si="55"/>
        <v>0</v>
      </c>
      <c r="K141" s="188">
        <f t="shared" si="55"/>
        <v>0</v>
      </c>
      <c r="L141" s="188">
        <f t="shared" si="55"/>
        <v>0</v>
      </c>
      <c r="M141" s="188">
        <f t="shared" si="55"/>
        <v>0</v>
      </c>
      <c r="N141" s="188">
        <f t="shared" si="55"/>
        <v>0</v>
      </c>
      <c r="O141" s="188">
        <f t="shared" si="55"/>
        <v>0</v>
      </c>
      <c r="P141" s="188">
        <f t="shared" si="55"/>
        <v>0</v>
      </c>
      <c r="Q141" s="188">
        <f t="shared" si="55"/>
        <v>0</v>
      </c>
      <c r="R141" s="188">
        <f t="shared" si="55"/>
        <v>0</v>
      </c>
      <c r="S141" s="188">
        <f t="shared" si="55"/>
        <v>0</v>
      </c>
      <c r="T141" s="188">
        <f t="shared" si="55"/>
        <v>0</v>
      </c>
      <c r="U141" s="188">
        <f t="shared" si="55"/>
        <v>0</v>
      </c>
      <c r="V141" s="188">
        <f t="shared" si="55"/>
        <v>0</v>
      </c>
      <c r="W141" s="188">
        <f t="shared" si="55"/>
        <v>0</v>
      </c>
      <c r="X141" s="188">
        <f t="shared" si="55"/>
        <v>0</v>
      </c>
      <c r="Y141" s="188">
        <f t="shared" si="55"/>
        <v>0</v>
      </c>
      <c r="Z141" s="188">
        <f t="shared" si="55"/>
        <v>0</v>
      </c>
    </row>
    <row r="142" spans="1:26">
      <c r="C142" s="188">
        <f>C71</f>
        <v>0</v>
      </c>
      <c r="D142" s="188">
        <f t="shared" ref="D142:Z142" si="56">D71</f>
        <v>0</v>
      </c>
      <c r="E142" s="188">
        <f t="shared" si="56"/>
        <v>0</v>
      </c>
      <c r="F142" s="188">
        <f t="shared" si="56"/>
        <v>0</v>
      </c>
      <c r="G142" s="188">
        <f t="shared" si="56"/>
        <v>0</v>
      </c>
      <c r="H142" s="188">
        <f t="shared" si="56"/>
        <v>0</v>
      </c>
      <c r="I142" s="188">
        <f t="shared" si="56"/>
        <v>0</v>
      </c>
      <c r="J142" s="188">
        <f t="shared" si="56"/>
        <v>0</v>
      </c>
      <c r="K142" s="188">
        <f t="shared" si="56"/>
        <v>0</v>
      </c>
      <c r="L142" s="188">
        <f t="shared" si="56"/>
        <v>0</v>
      </c>
      <c r="M142" s="188">
        <f t="shared" si="56"/>
        <v>0</v>
      </c>
      <c r="N142" s="188">
        <f t="shared" si="56"/>
        <v>0</v>
      </c>
      <c r="O142" s="188">
        <f t="shared" si="56"/>
        <v>0</v>
      </c>
      <c r="P142" s="188">
        <f t="shared" si="56"/>
        <v>0</v>
      </c>
      <c r="Q142" s="188">
        <f t="shared" si="56"/>
        <v>0</v>
      </c>
      <c r="R142" s="188">
        <f t="shared" si="56"/>
        <v>0</v>
      </c>
      <c r="S142" s="188">
        <f t="shared" si="56"/>
        <v>0</v>
      </c>
      <c r="T142" s="188">
        <f t="shared" si="56"/>
        <v>0</v>
      </c>
      <c r="U142" s="188">
        <f t="shared" si="56"/>
        <v>0</v>
      </c>
      <c r="V142" s="188">
        <f t="shared" si="56"/>
        <v>0</v>
      </c>
      <c r="W142" s="188">
        <f t="shared" si="56"/>
        <v>0</v>
      </c>
      <c r="X142" s="188">
        <f t="shared" si="56"/>
        <v>0</v>
      </c>
      <c r="Y142" s="188">
        <f t="shared" si="56"/>
        <v>0</v>
      </c>
      <c r="Z142" s="188">
        <f t="shared" si="56"/>
        <v>0</v>
      </c>
    </row>
    <row r="143" spans="1:26">
      <c r="A143" t="s">
        <v>794</v>
      </c>
      <c r="B143" t="s">
        <v>780</v>
      </c>
      <c r="C143" s="188">
        <f>C48</f>
        <v>0</v>
      </c>
      <c r="D143" s="188">
        <f t="shared" ref="D143:Z143" si="57">D48</f>
        <v>0</v>
      </c>
      <c r="E143" s="188">
        <f t="shared" si="57"/>
        <v>0</v>
      </c>
      <c r="F143" s="188">
        <f t="shared" si="57"/>
        <v>0</v>
      </c>
      <c r="G143" s="188">
        <f t="shared" si="57"/>
        <v>0</v>
      </c>
      <c r="H143" s="188">
        <f t="shared" si="57"/>
        <v>0</v>
      </c>
      <c r="I143" s="188">
        <f t="shared" si="57"/>
        <v>0</v>
      </c>
      <c r="J143" s="188">
        <f t="shared" si="57"/>
        <v>0</v>
      </c>
      <c r="K143" s="188">
        <f t="shared" si="57"/>
        <v>0</v>
      </c>
      <c r="L143" s="188">
        <f t="shared" si="57"/>
        <v>0</v>
      </c>
      <c r="M143" s="188">
        <f t="shared" si="57"/>
        <v>0</v>
      </c>
      <c r="N143" s="188">
        <f t="shared" si="57"/>
        <v>0</v>
      </c>
      <c r="O143" s="188">
        <f t="shared" si="57"/>
        <v>0</v>
      </c>
      <c r="P143" s="188">
        <f t="shared" si="57"/>
        <v>0</v>
      </c>
      <c r="Q143" s="188">
        <f t="shared" si="57"/>
        <v>0</v>
      </c>
      <c r="R143" s="188">
        <f t="shared" si="57"/>
        <v>0</v>
      </c>
      <c r="S143" s="188">
        <f t="shared" si="57"/>
        <v>0</v>
      </c>
      <c r="T143" s="188">
        <f t="shared" si="57"/>
        <v>0</v>
      </c>
      <c r="U143" s="188">
        <f t="shared" si="57"/>
        <v>0</v>
      </c>
      <c r="V143" s="188">
        <f t="shared" si="57"/>
        <v>0</v>
      </c>
      <c r="W143" s="188">
        <f t="shared" si="57"/>
        <v>0</v>
      </c>
      <c r="X143" s="188">
        <f t="shared" si="57"/>
        <v>0</v>
      </c>
      <c r="Y143" s="188">
        <f t="shared" si="57"/>
        <v>0</v>
      </c>
      <c r="Z143" s="188">
        <f t="shared" si="57"/>
        <v>0</v>
      </c>
    </row>
    <row r="144" spans="1:26">
      <c r="C144" s="188">
        <f>C48</f>
        <v>0</v>
      </c>
      <c r="D144" s="188">
        <f t="shared" ref="D144:Z144" si="58">D48</f>
        <v>0</v>
      </c>
      <c r="E144" s="188">
        <f t="shared" si="58"/>
        <v>0</v>
      </c>
      <c r="F144" s="188">
        <f t="shared" si="58"/>
        <v>0</v>
      </c>
      <c r="G144" s="188">
        <f t="shared" si="58"/>
        <v>0</v>
      </c>
      <c r="H144" s="188">
        <f t="shared" si="58"/>
        <v>0</v>
      </c>
      <c r="I144" s="188">
        <f t="shared" si="58"/>
        <v>0</v>
      </c>
      <c r="J144" s="188">
        <f t="shared" si="58"/>
        <v>0</v>
      </c>
      <c r="K144" s="188">
        <f t="shared" si="58"/>
        <v>0</v>
      </c>
      <c r="L144" s="188">
        <f t="shared" si="58"/>
        <v>0</v>
      </c>
      <c r="M144" s="188">
        <f t="shared" si="58"/>
        <v>0</v>
      </c>
      <c r="N144" s="188">
        <f t="shared" si="58"/>
        <v>0</v>
      </c>
      <c r="O144" s="188">
        <f t="shared" si="58"/>
        <v>0</v>
      </c>
      <c r="P144" s="188">
        <f t="shared" si="58"/>
        <v>0</v>
      </c>
      <c r="Q144" s="188">
        <f t="shared" si="58"/>
        <v>0</v>
      </c>
      <c r="R144" s="188">
        <f t="shared" si="58"/>
        <v>0</v>
      </c>
      <c r="S144" s="188">
        <f t="shared" si="58"/>
        <v>0</v>
      </c>
      <c r="T144" s="188">
        <f t="shared" si="58"/>
        <v>0</v>
      </c>
      <c r="U144" s="188">
        <f t="shared" si="58"/>
        <v>0</v>
      </c>
      <c r="V144" s="188">
        <f t="shared" si="58"/>
        <v>0</v>
      </c>
      <c r="W144" s="188">
        <f t="shared" si="58"/>
        <v>0</v>
      </c>
      <c r="X144" s="188">
        <f t="shared" si="58"/>
        <v>0</v>
      </c>
      <c r="Y144" s="188">
        <f t="shared" si="58"/>
        <v>0</v>
      </c>
      <c r="Z144" s="188">
        <f t="shared" si="58"/>
        <v>0</v>
      </c>
    </row>
    <row r="145" spans="1:26">
      <c r="C145" s="188">
        <f>C72</f>
        <v>0</v>
      </c>
      <c r="D145" s="188">
        <f t="shared" ref="D145:Z145" si="59">D72</f>
        <v>0</v>
      </c>
      <c r="E145" s="188">
        <f t="shared" si="59"/>
        <v>0</v>
      </c>
      <c r="F145" s="188">
        <f t="shared" si="59"/>
        <v>0</v>
      </c>
      <c r="G145" s="188">
        <f t="shared" si="59"/>
        <v>0</v>
      </c>
      <c r="H145" s="188">
        <f t="shared" si="59"/>
        <v>0</v>
      </c>
      <c r="I145" s="188">
        <f t="shared" si="59"/>
        <v>0</v>
      </c>
      <c r="J145" s="188">
        <f t="shared" si="59"/>
        <v>0</v>
      </c>
      <c r="K145" s="188">
        <f t="shared" si="59"/>
        <v>0</v>
      </c>
      <c r="L145" s="188">
        <f t="shared" si="59"/>
        <v>0</v>
      </c>
      <c r="M145" s="188">
        <f t="shared" si="59"/>
        <v>0</v>
      </c>
      <c r="N145" s="188">
        <f t="shared" si="59"/>
        <v>0</v>
      </c>
      <c r="O145" s="188">
        <f t="shared" si="59"/>
        <v>0</v>
      </c>
      <c r="P145" s="188">
        <f t="shared" si="59"/>
        <v>0</v>
      </c>
      <c r="Q145" s="188">
        <f t="shared" si="59"/>
        <v>0</v>
      </c>
      <c r="R145" s="188">
        <f t="shared" si="59"/>
        <v>0</v>
      </c>
      <c r="S145" s="188">
        <f t="shared" si="59"/>
        <v>0</v>
      </c>
      <c r="T145" s="188">
        <f t="shared" si="59"/>
        <v>0</v>
      </c>
      <c r="U145" s="188">
        <f t="shared" si="59"/>
        <v>0</v>
      </c>
      <c r="V145" s="188">
        <f t="shared" si="59"/>
        <v>0</v>
      </c>
      <c r="W145" s="188">
        <f t="shared" si="59"/>
        <v>0</v>
      </c>
      <c r="X145" s="188">
        <f t="shared" si="59"/>
        <v>0</v>
      </c>
      <c r="Y145" s="188">
        <f t="shared" si="59"/>
        <v>0</v>
      </c>
      <c r="Z145" s="188">
        <f t="shared" si="59"/>
        <v>0</v>
      </c>
    </row>
    <row r="146" spans="1:26">
      <c r="A146" t="s">
        <v>795</v>
      </c>
      <c r="C146" s="188">
        <f>C25</f>
        <v>0</v>
      </c>
      <c r="D146" s="188">
        <f t="shared" ref="D146:Z146" si="60">D25</f>
        <v>0</v>
      </c>
      <c r="E146" s="188">
        <f t="shared" si="60"/>
        <v>0</v>
      </c>
      <c r="F146" s="188">
        <f t="shared" si="60"/>
        <v>0</v>
      </c>
      <c r="G146" s="188">
        <f t="shared" si="60"/>
        <v>0</v>
      </c>
      <c r="H146" s="188">
        <f t="shared" si="60"/>
        <v>0</v>
      </c>
      <c r="I146" s="188">
        <f t="shared" si="60"/>
        <v>0</v>
      </c>
      <c r="J146" s="188">
        <f t="shared" si="60"/>
        <v>0</v>
      </c>
      <c r="K146" s="188">
        <f t="shared" si="60"/>
        <v>0</v>
      </c>
      <c r="L146" s="188">
        <f t="shared" si="60"/>
        <v>0</v>
      </c>
      <c r="M146" s="188">
        <f t="shared" si="60"/>
        <v>0</v>
      </c>
      <c r="N146" s="188">
        <f t="shared" si="60"/>
        <v>0</v>
      </c>
      <c r="O146" s="188">
        <f t="shared" si="60"/>
        <v>0</v>
      </c>
      <c r="P146" s="188">
        <f t="shared" si="60"/>
        <v>0</v>
      </c>
      <c r="Q146" s="188">
        <f t="shared" si="60"/>
        <v>0</v>
      </c>
      <c r="R146" s="188">
        <f t="shared" si="60"/>
        <v>0</v>
      </c>
      <c r="S146" s="188">
        <f t="shared" si="60"/>
        <v>0</v>
      </c>
      <c r="T146" s="188">
        <f t="shared" si="60"/>
        <v>0</v>
      </c>
      <c r="U146" s="188">
        <f t="shared" si="60"/>
        <v>0</v>
      </c>
      <c r="V146" s="188">
        <f t="shared" si="60"/>
        <v>0</v>
      </c>
      <c r="W146" s="188">
        <f t="shared" si="60"/>
        <v>0</v>
      </c>
      <c r="X146" s="188">
        <f t="shared" si="60"/>
        <v>0</v>
      </c>
      <c r="Y146" s="188">
        <f t="shared" si="60"/>
        <v>0</v>
      </c>
      <c r="Z146" s="188">
        <f t="shared" si="60"/>
        <v>0</v>
      </c>
    </row>
    <row r="147" spans="1:26">
      <c r="C147" s="188">
        <f>C49</f>
        <v>0</v>
      </c>
      <c r="D147" s="188">
        <f t="shared" ref="D147:Z147" si="61">D49</f>
        <v>0</v>
      </c>
      <c r="E147" s="188">
        <f t="shared" si="61"/>
        <v>0</v>
      </c>
      <c r="F147" s="188">
        <f t="shared" si="61"/>
        <v>0</v>
      </c>
      <c r="G147" s="188">
        <f t="shared" si="61"/>
        <v>0</v>
      </c>
      <c r="H147" s="188">
        <f t="shared" si="61"/>
        <v>0</v>
      </c>
      <c r="I147" s="188">
        <f t="shared" si="61"/>
        <v>0</v>
      </c>
      <c r="J147" s="188">
        <f t="shared" si="61"/>
        <v>0</v>
      </c>
      <c r="K147" s="188">
        <f t="shared" si="61"/>
        <v>0</v>
      </c>
      <c r="L147" s="188">
        <f t="shared" si="61"/>
        <v>0</v>
      </c>
      <c r="M147" s="188">
        <f t="shared" si="61"/>
        <v>0</v>
      </c>
      <c r="N147" s="188">
        <f t="shared" si="61"/>
        <v>0</v>
      </c>
      <c r="O147" s="188">
        <f t="shared" si="61"/>
        <v>0</v>
      </c>
      <c r="P147" s="188">
        <f t="shared" si="61"/>
        <v>0</v>
      </c>
      <c r="Q147" s="188">
        <f t="shared" si="61"/>
        <v>0</v>
      </c>
      <c r="R147" s="188">
        <f t="shared" si="61"/>
        <v>0</v>
      </c>
      <c r="S147" s="188">
        <f t="shared" si="61"/>
        <v>0</v>
      </c>
      <c r="T147" s="188">
        <f t="shared" si="61"/>
        <v>0</v>
      </c>
      <c r="U147" s="188">
        <f t="shared" si="61"/>
        <v>0</v>
      </c>
      <c r="V147" s="188">
        <f t="shared" si="61"/>
        <v>0</v>
      </c>
      <c r="W147" s="188">
        <f t="shared" si="61"/>
        <v>0</v>
      </c>
      <c r="X147" s="188">
        <f t="shared" si="61"/>
        <v>0</v>
      </c>
      <c r="Y147" s="188">
        <f t="shared" si="61"/>
        <v>0</v>
      </c>
      <c r="Z147" s="188">
        <f t="shared" si="61"/>
        <v>0</v>
      </c>
    </row>
    <row r="148" spans="1:26">
      <c r="C148" s="188">
        <f>C73</f>
        <v>0</v>
      </c>
      <c r="D148" s="188">
        <f t="shared" ref="D148:Z148" si="62">D73</f>
        <v>0</v>
      </c>
      <c r="E148" s="188">
        <f t="shared" si="62"/>
        <v>0</v>
      </c>
      <c r="F148" s="188">
        <f t="shared" si="62"/>
        <v>0</v>
      </c>
      <c r="G148" s="188">
        <f t="shared" si="62"/>
        <v>0</v>
      </c>
      <c r="H148" s="188">
        <f t="shared" si="62"/>
        <v>0</v>
      </c>
      <c r="I148" s="188">
        <f t="shared" si="62"/>
        <v>0</v>
      </c>
      <c r="J148" s="188">
        <f t="shared" si="62"/>
        <v>0</v>
      </c>
      <c r="K148" s="188">
        <f t="shared" si="62"/>
        <v>0</v>
      </c>
      <c r="L148" s="188">
        <f t="shared" si="62"/>
        <v>0</v>
      </c>
      <c r="M148" s="188">
        <f t="shared" si="62"/>
        <v>0</v>
      </c>
      <c r="N148" s="188">
        <f t="shared" si="62"/>
        <v>0</v>
      </c>
      <c r="O148" s="188">
        <f t="shared" si="62"/>
        <v>0</v>
      </c>
      <c r="P148" s="188">
        <f t="shared" si="62"/>
        <v>0</v>
      </c>
      <c r="Q148" s="188">
        <f t="shared" si="62"/>
        <v>0</v>
      </c>
      <c r="R148" s="188">
        <f t="shared" si="62"/>
        <v>0</v>
      </c>
      <c r="S148" s="188">
        <f t="shared" si="62"/>
        <v>0</v>
      </c>
      <c r="T148" s="188">
        <f t="shared" si="62"/>
        <v>0</v>
      </c>
      <c r="U148" s="188">
        <f t="shared" si="62"/>
        <v>0</v>
      </c>
      <c r="V148" s="188">
        <f t="shared" si="62"/>
        <v>0</v>
      </c>
      <c r="W148" s="188">
        <f t="shared" si="62"/>
        <v>0</v>
      </c>
      <c r="X148" s="188">
        <f t="shared" si="62"/>
        <v>0</v>
      </c>
      <c r="Y148" s="188">
        <f t="shared" si="62"/>
        <v>0</v>
      </c>
      <c r="Z148" s="188">
        <f t="shared" si="62"/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3"/>
  <dimension ref="A1:Z148"/>
  <sheetViews>
    <sheetView workbookViewId="0">
      <selection activeCell="F25" sqref="F25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26">
      <c r="A1" s="17" t="s">
        <v>119</v>
      </c>
      <c r="B1" s="198" t="s">
        <v>118</v>
      </c>
      <c r="C1" s="19" t="s">
        <v>120</v>
      </c>
    </row>
    <row r="2" spans="1:26">
      <c r="A2" s="7"/>
      <c r="C2" s="20"/>
    </row>
    <row r="3" spans="1:26">
      <c r="A3" s="17" t="s">
        <v>769</v>
      </c>
      <c r="B3" t="s">
        <v>770</v>
      </c>
      <c r="C3" s="102">
        <v>0.10100000000000001</v>
      </c>
    </row>
    <row r="4" spans="1:26">
      <c r="A4" s="17"/>
      <c r="C4" s="20"/>
    </row>
    <row r="5" spans="1:26" s="6" customFormat="1">
      <c r="A5" s="43" t="s">
        <v>771</v>
      </c>
      <c r="B5" s="6" t="s">
        <v>98</v>
      </c>
      <c r="C5" s="19">
        <v>0</v>
      </c>
      <c r="D5" s="6">
        <v>15.71</v>
      </c>
      <c r="E5" s="6">
        <v>31.37</v>
      </c>
      <c r="F5" s="6">
        <v>47</v>
      </c>
      <c r="G5" s="6">
        <v>62.58</v>
      </c>
      <c r="H5" s="6">
        <v>78.11</v>
      </c>
      <c r="I5" s="6">
        <v>93.6</v>
      </c>
      <c r="J5" s="6">
        <v>109.04</v>
      </c>
      <c r="K5" s="6">
        <v>124.44</v>
      </c>
      <c r="L5" s="6">
        <v>139.80000000000001</v>
      </c>
      <c r="M5" s="6">
        <v>155.1</v>
      </c>
      <c r="N5" s="6">
        <v>170.37</v>
      </c>
      <c r="O5" s="6">
        <v>185.58</v>
      </c>
      <c r="P5" s="6">
        <v>200.75</v>
      </c>
      <c r="Q5" s="6">
        <v>215.88</v>
      </c>
      <c r="R5" s="6">
        <v>230.96</v>
      </c>
      <c r="S5" s="6">
        <v>246</v>
      </c>
      <c r="T5" s="6">
        <v>260.99</v>
      </c>
      <c r="U5" s="6">
        <v>275.93</v>
      </c>
      <c r="V5" s="6">
        <v>290.83999999999997</v>
      </c>
      <c r="W5" s="6">
        <v>305.69</v>
      </c>
      <c r="X5" s="6">
        <v>320.51</v>
      </c>
      <c r="Y5" s="6">
        <v>335.27</v>
      </c>
      <c r="Z5" s="6">
        <v>350</v>
      </c>
    </row>
    <row r="6" spans="1:26">
      <c r="A6" t="s">
        <v>772</v>
      </c>
      <c r="B6" t="s">
        <v>102</v>
      </c>
    </row>
    <row r="7" spans="1:26">
      <c r="A7" t="s">
        <v>773</v>
      </c>
      <c r="B7" t="s">
        <v>774</v>
      </c>
    </row>
    <row r="8" spans="1:26">
      <c r="A8" t="s">
        <v>775</v>
      </c>
      <c r="B8" t="s">
        <v>776</v>
      </c>
    </row>
    <row r="9" spans="1:26">
      <c r="A9" t="s">
        <v>777</v>
      </c>
      <c r="B9" t="s">
        <v>778</v>
      </c>
    </row>
    <row r="10" spans="1:26">
      <c r="A10" t="s">
        <v>779</v>
      </c>
      <c r="B10" t="s">
        <v>780</v>
      </c>
    </row>
    <row r="11" spans="1:26">
      <c r="A11" t="s">
        <v>781</v>
      </c>
    </row>
    <row r="12" spans="1:26" s="6" customFormat="1">
      <c r="A12" s="6" t="s">
        <v>782</v>
      </c>
      <c r="B12" s="6" t="s">
        <v>783</v>
      </c>
      <c r="C12" s="6">
        <v>0</v>
      </c>
      <c r="D12" s="6">
        <v>15.5</v>
      </c>
      <c r="E12" s="6">
        <v>31.1</v>
      </c>
      <c r="F12" s="6">
        <v>46.6</v>
      </c>
      <c r="G12" s="6">
        <v>62.2</v>
      </c>
      <c r="H12" s="6">
        <v>77.7</v>
      </c>
      <c r="I12" s="6">
        <v>93.3</v>
      </c>
      <c r="J12" s="6">
        <v>108.8</v>
      </c>
      <c r="K12" s="6">
        <v>124.3</v>
      </c>
      <c r="L12" s="6">
        <v>139.9</v>
      </c>
      <c r="M12" s="6">
        <v>155.4</v>
      </c>
      <c r="N12" s="6">
        <v>171</v>
      </c>
      <c r="O12" s="6">
        <v>186.5</v>
      </c>
      <c r="P12" s="6">
        <v>202.1</v>
      </c>
      <c r="Q12" s="6">
        <v>217.6</v>
      </c>
      <c r="R12" s="6">
        <v>233.1</v>
      </c>
      <c r="S12" s="6">
        <v>248.7</v>
      </c>
      <c r="T12" s="6">
        <v>264.2</v>
      </c>
      <c r="U12" s="6">
        <v>279.8</v>
      </c>
      <c r="V12" s="6">
        <v>295.3</v>
      </c>
      <c r="W12" s="6">
        <v>310.89999999999998</v>
      </c>
      <c r="X12" s="6">
        <v>326.39999999999998</v>
      </c>
      <c r="Y12" s="6">
        <v>341.9</v>
      </c>
      <c r="Z12" s="6">
        <v>357.5</v>
      </c>
    </row>
    <row r="13" spans="1:26" s="6" customFormat="1">
      <c r="A13" s="6" t="s">
        <v>784</v>
      </c>
      <c r="C13" s="6">
        <v>1</v>
      </c>
      <c r="D13" s="6">
        <v>1</v>
      </c>
      <c r="E13" s="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187">
        <v>1</v>
      </c>
      <c r="Q13" s="187">
        <v>1</v>
      </c>
      <c r="R13" s="187">
        <v>1</v>
      </c>
      <c r="S13" s="187">
        <v>1</v>
      </c>
      <c r="T13" s="187">
        <v>1</v>
      </c>
      <c r="U13" s="187">
        <v>1</v>
      </c>
      <c r="V13" s="187">
        <v>1</v>
      </c>
      <c r="W13" s="187">
        <v>1</v>
      </c>
      <c r="X13" s="187">
        <v>1</v>
      </c>
      <c r="Y13" s="187">
        <v>1</v>
      </c>
      <c r="Z13" s="187">
        <v>1</v>
      </c>
    </row>
    <row r="14" spans="1:26">
      <c r="A14" t="s">
        <v>785</v>
      </c>
      <c r="B14" t="s">
        <v>102</v>
      </c>
      <c r="C14">
        <v>1.29</v>
      </c>
      <c r="D14">
        <v>1.22</v>
      </c>
      <c r="E14">
        <v>1.1599999999999999</v>
      </c>
      <c r="F14">
        <v>1.1000000000000001</v>
      </c>
      <c r="G14">
        <v>1.05</v>
      </c>
      <c r="H14">
        <v>1</v>
      </c>
      <c r="I14">
        <v>0.96</v>
      </c>
      <c r="J14">
        <v>0.92</v>
      </c>
      <c r="K14">
        <v>0.89</v>
      </c>
      <c r="L14">
        <v>0.85</v>
      </c>
      <c r="M14">
        <v>0.82</v>
      </c>
      <c r="N14">
        <v>0.8</v>
      </c>
      <c r="O14">
        <v>0.77</v>
      </c>
      <c r="P14">
        <v>0.74</v>
      </c>
      <c r="Q14">
        <v>0.72</v>
      </c>
      <c r="R14">
        <v>0.7</v>
      </c>
      <c r="S14">
        <v>0.68</v>
      </c>
      <c r="T14">
        <v>0.66</v>
      </c>
      <c r="U14">
        <v>0.64</v>
      </c>
      <c r="V14">
        <v>0.63</v>
      </c>
      <c r="W14">
        <v>0.61</v>
      </c>
      <c r="X14">
        <v>0.59</v>
      </c>
      <c r="Y14">
        <v>0.57999999999999996</v>
      </c>
      <c r="Z14">
        <v>0.56999999999999995</v>
      </c>
    </row>
    <row r="15" spans="1:26">
      <c r="A15" t="s">
        <v>786</v>
      </c>
      <c r="B15" t="s">
        <v>774</v>
      </c>
      <c r="C15">
        <v>0.98799999999999999</v>
      </c>
      <c r="D15">
        <v>0.99099999999999999</v>
      </c>
      <c r="E15">
        <v>0.99399999999999999</v>
      </c>
      <c r="F15">
        <v>0.996</v>
      </c>
      <c r="G15">
        <v>0.999</v>
      </c>
      <c r="H15">
        <v>1.002</v>
      </c>
      <c r="I15">
        <v>1.0049999999999999</v>
      </c>
      <c r="J15">
        <v>1.008</v>
      </c>
      <c r="K15">
        <v>1.0109999999999999</v>
      </c>
      <c r="L15">
        <v>1.014</v>
      </c>
      <c r="M15">
        <v>1.0169999999999999</v>
      </c>
      <c r="N15">
        <v>1.02</v>
      </c>
      <c r="O15">
        <v>1.0229999999999999</v>
      </c>
      <c r="P15">
        <v>1.026</v>
      </c>
      <c r="Q15">
        <v>1.0289999999999999</v>
      </c>
      <c r="R15">
        <v>1.032</v>
      </c>
      <c r="S15">
        <v>1.0349999999999999</v>
      </c>
      <c r="T15">
        <v>1.038</v>
      </c>
      <c r="U15">
        <v>1.0409999999999999</v>
      </c>
      <c r="V15">
        <v>1.0449999999999999</v>
      </c>
      <c r="W15">
        <v>1.048</v>
      </c>
      <c r="X15">
        <v>1.0509999999999999</v>
      </c>
      <c r="Y15">
        <v>1.054</v>
      </c>
      <c r="Z15">
        <v>1.0569999999999999</v>
      </c>
    </row>
    <row r="16" spans="1:26">
      <c r="A16" t="s">
        <v>787</v>
      </c>
      <c r="B16" t="s">
        <v>776</v>
      </c>
      <c r="C16">
        <v>1.7600000000000001E-2</v>
      </c>
      <c r="D16">
        <v>1.84E-2</v>
      </c>
      <c r="E16">
        <v>1.9099999999999999E-2</v>
      </c>
      <c r="F16">
        <v>1.9900000000000001E-2</v>
      </c>
      <c r="G16">
        <v>2.06E-2</v>
      </c>
      <c r="H16">
        <v>2.1299999999999999E-2</v>
      </c>
      <c r="I16">
        <v>2.1899999999999999E-2</v>
      </c>
      <c r="J16">
        <v>2.2599999999999999E-2</v>
      </c>
      <c r="K16">
        <v>2.3199999999999998E-2</v>
      </c>
      <c r="L16">
        <v>2.3900000000000001E-2</v>
      </c>
      <c r="M16">
        <v>2.4500000000000001E-2</v>
      </c>
      <c r="N16">
        <v>2.5100000000000001E-2</v>
      </c>
      <c r="O16">
        <v>2.5700000000000001E-2</v>
      </c>
      <c r="P16">
        <v>2.63E-2</v>
      </c>
      <c r="Q16">
        <v>2.69E-2</v>
      </c>
      <c r="R16">
        <v>2.75E-2</v>
      </c>
      <c r="S16">
        <v>2.81E-2</v>
      </c>
      <c r="T16">
        <v>2.87E-2</v>
      </c>
      <c r="U16">
        <v>2.93E-2</v>
      </c>
      <c r="V16">
        <v>2.9899999999999999E-2</v>
      </c>
      <c r="W16">
        <v>3.0499999999999999E-2</v>
      </c>
      <c r="X16">
        <v>3.1099999999999999E-2</v>
      </c>
      <c r="Y16">
        <v>3.1600000000000003E-2</v>
      </c>
      <c r="Z16">
        <v>3.2199999999999999E-2</v>
      </c>
    </row>
    <row r="17" spans="1:26">
      <c r="A17" t="s">
        <v>788</v>
      </c>
      <c r="B17" t="s">
        <v>778</v>
      </c>
      <c r="C17">
        <v>2.3E-2</v>
      </c>
      <c r="D17">
        <v>2.41E-2</v>
      </c>
      <c r="E17">
        <v>2.5100000000000001E-2</v>
      </c>
      <c r="F17">
        <v>2.6200000000000001E-2</v>
      </c>
      <c r="G17">
        <v>2.7199999999999998E-2</v>
      </c>
      <c r="H17">
        <v>2.8199999999999999E-2</v>
      </c>
      <c r="I17">
        <v>2.92E-2</v>
      </c>
      <c r="J17">
        <v>3.0200000000000001E-2</v>
      </c>
      <c r="K17">
        <v>3.1199999999999999E-2</v>
      </c>
      <c r="L17">
        <v>3.2099999999999997E-2</v>
      </c>
      <c r="M17">
        <v>3.3000000000000002E-2</v>
      </c>
      <c r="N17">
        <v>3.4000000000000002E-2</v>
      </c>
      <c r="O17">
        <v>3.49E-2</v>
      </c>
      <c r="P17">
        <v>3.5799999999999998E-2</v>
      </c>
      <c r="Q17">
        <v>3.6700000000000003E-2</v>
      </c>
      <c r="R17">
        <v>3.7600000000000001E-2</v>
      </c>
      <c r="S17">
        <v>3.8399999999999997E-2</v>
      </c>
      <c r="T17">
        <v>3.9300000000000002E-2</v>
      </c>
      <c r="U17">
        <v>4.0099999999999997E-2</v>
      </c>
      <c r="V17">
        <v>4.1000000000000002E-2</v>
      </c>
      <c r="W17">
        <v>4.1799999999999997E-2</v>
      </c>
      <c r="X17">
        <v>4.2700000000000002E-2</v>
      </c>
      <c r="Y17">
        <v>4.3499999999999997E-2</v>
      </c>
      <c r="Z17">
        <v>4.4299999999999999E-2</v>
      </c>
    </row>
    <row r="18" spans="1:26">
      <c r="A18" t="s">
        <v>789</v>
      </c>
      <c r="C18">
        <v>28.95</v>
      </c>
      <c r="D18">
        <v>28.95</v>
      </c>
      <c r="E18">
        <v>28.95</v>
      </c>
      <c r="F18">
        <v>28.95</v>
      </c>
      <c r="G18">
        <v>28.95</v>
      </c>
      <c r="H18">
        <v>28.95</v>
      </c>
      <c r="I18">
        <v>28.95</v>
      </c>
      <c r="J18">
        <v>28.95</v>
      </c>
      <c r="K18">
        <v>28.95</v>
      </c>
      <c r="L18">
        <v>28.95</v>
      </c>
      <c r="M18">
        <v>28.95</v>
      </c>
      <c r="N18">
        <v>28.95</v>
      </c>
      <c r="O18">
        <v>28.95</v>
      </c>
      <c r="P18">
        <v>28.95</v>
      </c>
      <c r="Q18">
        <v>28.95</v>
      </c>
      <c r="R18">
        <v>28.95</v>
      </c>
      <c r="S18">
        <v>28.95</v>
      </c>
      <c r="T18">
        <v>28.95</v>
      </c>
      <c r="U18">
        <v>28.95</v>
      </c>
      <c r="V18">
        <v>28.95</v>
      </c>
      <c r="W18">
        <v>28.95</v>
      </c>
      <c r="X18">
        <v>28.95</v>
      </c>
      <c r="Y18">
        <v>28.95</v>
      </c>
      <c r="Z18">
        <v>28.95</v>
      </c>
    </row>
    <row r="19" spans="1:26" s="6" customFormat="1">
      <c r="A19" s="6" t="s">
        <v>790</v>
      </c>
    </row>
    <row r="20" spans="1:26">
      <c r="A20" t="s">
        <v>772</v>
      </c>
      <c r="B20" t="s">
        <v>102</v>
      </c>
    </row>
    <row r="21" spans="1:26">
      <c r="A21" t="s">
        <v>791</v>
      </c>
      <c r="B21" t="s">
        <v>774</v>
      </c>
    </row>
    <row r="22" spans="1:26">
      <c r="A22" t="s">
        <v>792</v>
      </c>
      <c r="B22" t="s">
        <v>776</v>
      </c>
    </row>
    <row r="23" spans="1:26">
      <c r="A23" t="s">
        <v>793</v>
      </c>
      <c r="B23" t="s">
        <v>778</v>
      </c>
    </row>
    <row r="24" spans="1:26">
      <c r="A24" t="s">
        <v>794</v>
      </c>
      <c r="B24" t="s">
        <v>780</v>
      </c>
    </row>
    <row r="25" spans="1:26">
      <c r="A25" t="s">
        <v>795</v>
      </c>
    </row>
    <row r="27" spans="1:26">
      <c r="A27" s="17" t="s">
        <v>796</v>
      </c>
      <c r="B27" t="s">
        <v>770</v>
      </c>
      <c r="C27" s="102">
        <v>0.10100000000000001</v>
      </c>
    </row>
    <row r="29" spans="1:26" s="6" customFormat="1">
      <c r="A29" s="6" t="s">
        <v>771</v>
      </c>
      <c r="B29" s="6" t="s">
        <v>98</v>
      </c>
      <c r="C29" s="6">
        <v>0</v>
      </c>
      <c r="D29" s="6">
        <v>15.71</v>
      </c>
      <c r="E29" s="6">
        <v>31.37</v>
      </c>
      <c r="F29" s="6">
        <v>47</v>
      </c>
      <c r="G29" s="6">
        <v>62.58</v>
      </c>
      <c r="H29" s="6">
        <v>78.11</v>
      </c>
      <c r="I29" s="6">
        <v>93.6</v>
      </c>
      <c r="J29" s="6">
        <v>109.04</v>
      </c>
      <c r="K29" s="6">
        <v>124.44</v>
      </c>
      <c r="L29" s="6">
        <v>139.80000000000001</v>
      </c>
      <c r="M29" s="6">
        <v>155.1</v>
      </c>
      <c r="N29" s="6">
        <v>170.37</v>
      </c>
      <c r="O29" s="6">
        <v>185.58</v>
      </c>
      <c r="P29" s="6">
        <v>200.75</v>
      </c>
      <c r="Q29" s="6">
        <v>215.88</v>
      </c>
      <c r="R29" s="6">
        <v>230.96</v>
      </c>
      <c r="S29" s="6">
        <v>246</v>
      </c>
      <c r="T29" s="6">
        <v>260.99</v>
      </c>
      <c r="U29" s="6">
        <v>275.93</v>
      </c>
      <c r="V29" s="6">
        <v>290.83999999999997</v>
      </c>
      <c r="W29" s="6">
        <v>305.69</v>
      </c>
      <c r="X29" s="6">
        <v>320.51</v>
      </c>
      <c r="Y29" s="6">
        <v>335.27</v>
      </c>
      <c r="Z29" s="6">
        <v>350</v>
      </c>
    </row>
    <row r="30" spans="1:26">
      <c r="A30" t="s">
        <v>772</v>
      </c>
      <c r="B30" t="s">
        <v>102</v>
      </c>
    </row>
    <row r="31" spans="1:26">
      <c r="A31" t="s">
        <v>773</v>
      </c>
      <c r="B31" t="s">
        <v>774</v>
      </c>
    </row>
    <row r="32" spans="1:26">
      <c r="A32" t="s">
        <v>775</v>
      </c>
      <c r="B32" t="s">
        <v>776</v>
      </c>
    </row>
    <row r="33" spans="1:26">
      <c r="A33" t="s">
        <v>777</v>
      </c>
      <c r="B33" t="s">
        <v>778</v>
      </c>
    </row>
    <row r="34" spans="1:26">
      <c r="A34" t="s">
        <v>779</v>
      </c>
      <c r="B34" t="s">
        <v>780</v>
      </c>
    </row>
    <row r="35" spans="1:26">
      <c r="A35" t="s">
        <v>781</v>
      </c>
    </row>
    <row r="36" spans="1:26" s="6" customFormat="1">
      <c r="A36" s="6" t="s">
        <v>782</v>
      </c>
      <c r="B36" s="6" t="s">
        <v>783</v>
      </c>
      <c r="C36" s="6">
        <v>0</v>
      </c>
      <c r="D36" s="6">
        <v>15.5</v>
      </c>
      <c r="E36" s="6">
        <v>31.1</v>
      </c>
      <c r="F36" s="6">
        <v>46.6</v>
      </c>
      <c r="G36" s="6">
        <v>62.2</v>
      </c>
      <c r="H36" s="6">
        <v>77.7</v>
      </c>
      <c r="I36" s="6">
        <v>93.3</v>
      </c>
      <c r="J36" s="6">
        <v>108.8</v>
      </c>
      <c r="K36" s="6">
        <v>124.3</v>
      </c>
      <c r="L36" s="6">
        <v>139.9</v>
      </c>
      <c r="M36" s="6">
        <v>155.4</v>
      </c>
      <c r="N36" s="6">
        <v>171</v>
      </c>
      <c r="O36" s="6">
        <v>186.5</v>
      </c>
      <c r="P36" s="6">
        <v>202.1</v>
      </c>
      <c r="Q36" s="6">
        <v>217.6</v>
      </c>
      <c r="R36" s="6">
        <v>233.1</v>
      </c>
      <c r="S36" s="6">
        <v>248.7</v>
      </c>
      <c r="T36" s="6">
        <v>264.2</v>
      </c>
      <c r="U36" s="6">
        <v>279.8</v>
      </c>
      <c r="V36" s="6">
        <v>295.3</v>
      </c>
      <c r="W36" s="6">
        <v>310.89999999999998</v>
      </c>
      <c r="X36" s="6">
        <v>326.39999999999998</v>
      </c>
      <c r="Y36" s="6">
        <v>341.9</v>
      </c>
      <c r="Z36" s="6">
        <v>357.5</v>
      </c>
    </row>
    <row r="37" spans="1:26" s="6" customFormat="1">
      <c r="A37" s="6" t="s">
        <v>784</v>
      </c>
      <c r="C37" s="6">
        <v>1</v>
      </c>
      <c r="D37" s="6">
        <v>1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187">
        <v>1</v>
      </c>
      <c r="W37" s="187">
        <v>1</v>
      </c>
      <c r="X37" s="187">
        <v>1</v>
      </c>
      <c r="Y37" s="187">
        <v>1</v>
      </c>
      <c r="Z37" s="187">
        <v>1</v>
      </c>
    </row>
    <row r="38" spans="1:26">
      <c r="A38" t="s">
        <v>785</v>
      </c>
      <c r="B38" t="s">
        <v>102</v>
      </c>
      <c r="C38">
        <v>1.29</v>
      </c>
      <c r="D38">
        <v>1.22</v>
      </c>
      <c r="E38">
        <v>1.1599999999999999</v>
      </c>
      <c r="F38">
        <v>1.1000000000000001</v>
      </c>
      <c r="G38">
        <v>1.05</v>
      </c>
      <c r="H38">
        <v>1</v>
      </c>
      <c r="I38">
        <v>0.96</v>
      </c>
      <c r="J38">
        <v>0.92</v>
      </c>
      <c r="K38">
        <v>0.89</v>
      </c>
      <c r="L38">
        <v>0.85</v>
      </c>
      <c r="M38">
        <v>0.82</v>
      </c>
      <c r="N38">
        <v>0.8</v>
      </c>
      <c r="O38">
        <v>0.77</v>
      </c>
      <c r="P38">
        <v>0.74</v>
      </c>
      <c r="Q38">
        <v>0.72</v>
      </c>
      <c r="R38">
        <v>0.7</v>
      </c>
      <c r="S38">
        <v>0.68</v>
      </c>
      <c r="T38">
        <v>0.66</v>
      </c>
      <c r="U38">
        <v>0.64</v>
      </c>
      <c r="V38">
        <v>0.63</v>
      </c>
      <c r="W38">
        <v>0.61</v>
      </c>
      <c r="X38">
        <v>0.59</v>
      </c>
      <c r="Y38">
        <v>0.57999999999999996</v>
      </c>
      <c r="Z38">
        <v>0.56999999999999995</v>
      </c>
    </row>
    <row r="39" spans="1:26">
      <c r="A39" t="s">
        <v>786</v>
      </c>
      <c r="B39" t="s">
        <v>774</v>
      </c>
      <c r="C39">
        <v>0.98799999999999999</v>
      </c>
      <c r="D39">
        <v>0.99099999999999999</v>
      </c>
      <c r="E39">
        <v>0.99399999999999999</v>
      </c>
      <c r="F39">
        <v>0.996</v>
      </c>
      <c r="G39">
        <v>0.999</v>
      </c>
      <c r="H39">
        <v>1.002</v>
      </c>
      <c r="I39">
        <v>1.0049999999999999</v>
      </c>
      <c r="J39">
        <v>1.008</v>
      </c>
      <c r="K39">
        <v>1.0109999999999999</v>
      </c>
      <c r="L39">
        <v>1.014</v>
      </c>
      <c r="M39">
        <v>1.0169999999999999</v>
      </c>
      <c r="N39">
        <v>1.02</v>
      </c>
      <c r="O39">
        <v>1.0229999999999999</v>
      </c>
      <c r="P39">
        <v>1.026</v>
      </c>
      <c r="Q39">
        <v>1.0289999999999999</v>
      </c>
      <c r="R39">
        <v>1.032</v>
      </c>
      <c r="S39">
        <v>1.0349999999999999</v>
      </c>
      <c r="T39">
        <v>1.038</v>
      </c>
      <c r="U39">
        <v>1.0409999999999999</v>
      </c>
      <c r="V39">
        <v>1.0449999999999999</v>
      </c>
      <c r="W39">
        <v>1.048</v>
      </c>
      <c r="X39">
        <v>1.0509999999999999</v>
      </c>
      <c r="Y39">
        <v>1.054</v>
      </c>
      <c r="Z39">
        <v>1.0569999999999999</v>
      </c>
    </row>
    <row r="40" spans="1:26">
      <c r="A40" t="s">
        <v>787</v>
      </c>
      <c r="B40" t="s">
        <v>776</v>
      </c>
      <c r="C40">
        <v>1.7600000000000001E-2</v>
      </c>
      <c r="D40">
        <v>1.84E-2</v>
      </c>
      <c r="E40">
        <v>1.9099999999999999E-2</v>
      </c>
      <c r="F40">
        <v>1.9900000000000001E-2</v>
      </c>
      <c r="G40">
        <v>2.06E-2</v>
      </c>
      <c r="H40">
        <v>2.1299999999999999E-2</v>
      </c>
      <c r="I40">
        <v>2.1899999999999999E-2</v>
      </c>
      <c r="J40">
        <v>2.2599999999999999E-2</v>
      </c>
      <c r="K40">
        <v>2.3199999999999998E-2</v>
      </c>
      <c r="L40">
        <v>2.3900000000000001E-2</v>
      </c>
      <c r="M40">
        <v>2.4500000000000001E-2</v>
      </c>
      <c r="N40">
        <v>2.5100000000000001E-2</v>
      </c>
      <c r="O40">
        <v>2.5700000000000001E-2</v>
      </c>
      <c r="P40">
        <v>2.63E-2</v>
      </c>
      <c r="Q40">
        <v>2.69E-2</v>
      </c>
      <c r="R40">
        <v>2.75E-2</v>
      </c>
      <c r="S40">
        <v>2.81E-2</v>
      </c>
      <c r="T40">
        <v>2.87E-2</v>
      </c>
      <c r="U40">
        <v>2.93E-2</v>
      </c>
      <c r="V40">
        <v>2.9899999999999999E-2</v>
      </c>
      <c r="W40">
        <v>3.0499999999999999E-2</v>
      </c>
      <c r="X40">
        <v>3.1099999999999999E-2</v>
      </c>
      <c r="Y40">
        <v>3.1600000000000003E-2</v>
      </c>
      <c r="Z40">
        <v>3.2199999999999999E-2</v>
      </c>
    </row>
    <row r="41" spans="1:26">
      <c r="A41" t="s">
        <v>788</v>
      </c>
      <c r="B41" t="s">
        <v>778</v>
      </c>
      <c r="C41">
        <v>2.3E-2</v>
      </c>
      <c r="D41">
        <v>2.41E-2</v>
      </c>
      <c r="E41">
        <v>2.5100000000000001E-2</v>
      </c>
      <c r="F41">
        <v>2.6200000000000001E-2</v>
      </c>
      <c r="G41">
        <v>2.7199999999999998E-2</v>
      </c>
      <c r="H41">
        <v>2.8199999999999999E-2</v>
      </c>
      <c r="I41">
        <v>2.92E-2</v>
      </c>
      <c r="J41">
        <v>3.0200000000000001E-2</v>
      </c>
      <c r="K41">
        <v>3.1199999999999999E-2</v>
      </c>
      <c r="L41">
        <v>3.2099999999999997E-2</v>
      </c>
      <c r="M41">
        <v>3.3000000000000002E-2</v>
      </c>
      <c r="N41">
        <v>3.4000000000000002E-2</v>
      </c>
      <c r="O41">
        <v>3.49E-2</v>
      </c>
      <c r="P41">
        <v>3.5799999999999998E-2</v>
      </c>
      <c r="Q41">
        <v>3.6700000000000003E-2</v>
      </c>
      <c r="R41">
        <v>3.7600000000000001E-2</v>
      </c>
      <c r="S41">
        <v>3.8399999999999997E-2</v>
      </c>
      <c r="T41">
        <v>3.9300000000000002E-2</v>
      </c>
      <c r="U41">
        <v>4.0099999999999997E-2</v>
      </c>
      <c r="V41">
        <v>4.1000000000000002E-2</v>
      </c>
      <c r="W41">
        <v>4.1799999999999997E-2</v>
      </c>
      <c r="X41">
        <v>4.2700000000000002E-2</v>
      </c>
      <c r="Y41">
        <v>4.3499999999999997E-2</v>
      </c>
      <c r="Z41">
        <v>4.4299999999999999E-2</v>
      </c>
    </row>
    <row r="42" spans="1:26">
      <c r="A42" t="s">
        <v>789</v>
      </c>
      <c r="C42">
        <v>28.95</v>
      </c>
      <c r="D42">
        <v>28.95</v>
      </c>
      <c r="E42">
        <v>28.95</v>
      </c>
      <c r="F42">
        <v>28.95</v>
      </c>
      <c r="G42">
        <v>28.95</v>
      </c>
      <c r="H42">
        <v>28.95</v>
      </c>
      <c r="I42">
        <v>28.95</v>
      </c>
      <c r="J42">
        <v>28.95</v>
      </c>
      <c r="K42">
        <v>28.95</v>
      </c>
      <c r="L42">
        <v>28.95</v>
      </c>
      <c r="M42">
        <v>28.95</v>
      </c>
      <c r="N42">
        <v>28.95</v>
      </c>
      <c r="O42">
        <v>28.95</v>
      </c>
      <c r="P42">
        <v>28.95</v>
      </c>
      <c r="Q42">
        <v>28.95</v>
      </c>
      <c r="R42">
        <v>28.95</v>
      </c>
      <c r="S42">
        <v>28.95</v>
      </c>
      <c r="T42">
        <v>28.95</v>
      </c>
      <c r="U42">
        <v>28.95</v>
      </c>
      <c r="V42">
        <v>28.95</v>
      </c>
      <c r="W42">
        <v>28.95</v>
      </c>
      <c r="X42">
        <v>28.95</v>
      </c>
      <c r="Y42">
        <v>28.95</v>
      </c>
      <c r="Z42">
        <v>28.95</v>
      </c>
    </row>
    <row r="43" spans="1:26" s="6" customFormat="1">
      <c r="A43" s="6" t="s">
        <v>790</v>
      </c>
    </row>
    <row r="44" spans="1:26">
      <c r="A44" t="s">
        <v>772</v>
      </c>
      <c r="B44" t="s">
        <v>102</v>
      </c>
    </row>
    <row r="45" spans="1:26">
      <c r="A45" t="s">
        <v>791</v>
      </c>
      <c r="B45" t="s">
        <v>774</v>
      </c>
    </row>
    <row r="46" spans="1:26">
      <c r="A46" t="s">
        <v>792</v>
      </c>
      <c r="B46" t="s">
        <v>776</v>
      </c>
    </row>
    <row r="47" spans="1:26">
      <c r="A47" t="s">
        <v>793</v>
      </c>
      <c r="B47" t="s">
        <v>778</v>
      </c>
    </row>
    <row r="48" spans="1:26">
      <c r="A48" t="s">
        <v>794</v>
      </c>
      <c r="B48" t="s">
        <v>780</v>
      </c>
    </row>
    <row r="49" spans="1:26">
      <c r="A49" t="s">
        <v>795</v>
      </c>
    </row>
    <row r="51" spans="1:26">
      <c r="A51" s="17" t="s">
        <v>797</v>
      </c>
      <c r="B51" t="s">
        <v>770</v>
      </c>
      <c r="C51" s="102">
        <v>0.10100000000000001</v>
      </c>
    </row>
    <row r="53" spans="1:26" s="6" customFormat="1">
      <c r="A53" s="6" t="s">
        <v>771</v>
      </c>
      <c r="B53" s="6" t="s">
        <v>98</v>
      </c>
      <c r="C53" s="6">
        <v>0</v>
      </c>
      <c r="D53" s="6">
        <v>15.71</v>
      </c>
      <c r="E53" s="6">
        <v>31.37</v>
      </c>
      <c r="F53" s="6">
        <v>47</v>
      </c>
      <c r="G53" s="6">
        <v>62.58</v>
      </c>
      <c r="H53" s="6">
        <v>78.11</v>
      </c>
      <c r="I53" s="6">
        <v>93.6</v>
      </c>
      <c r="J53" s="6">
        <v>109.04</v>
      </c>
      <c r="K53" s="6">
        <v>124.44</v>
      </c>
      <c r="L53" s="6">
        <v>139.80000000000001</v>
      </c>
      <c r="M53" s="6">
        <v>155.1</v>
      </c>
      <c r="N53" s="6">
        <v>170.37</v>
      </c>
      <c r="O53" s="6">
        <v>185.58</v>
      </c>
      <c r="P53" s="6">
        <v>200.75</v>
      </c>
      <c r="Q53" s="6">
        <v>215.88</v>
      </c>
      <c r="R53" s="6">
        <v>230.96</v>
      </c>
      <c r="S53" s="6">
        <v>246</v>
      </c>
      <c r="T53" s="6">
        <v>260.99</v>
      </c>
      <c r="U53" s="6">
        <v>275.93</v>
      </c>
      <c r="V53" s="6">
        <v>290.83999999999997</v>
      </c>
      <c r="W53" s="6">
        <v>305.69</v>
      </c>
      <c r="X53" s="6">
        <v>320.51</v>
      </c>
      <c r="Y53" s="6">
        <v>335.27</v>
      </c>
      <c r="Z53" s="6">
        <v>350</v>
      </c>
    </row>
    <row r="54" spans="1:26">
      <c r="A54" t="s">
        <v>772</v>
      </c>
      <c r="B54" t="s">
        <v>102</v>
      </c>
    </row>
    <row r="55" spans="1:26">
      <c r="A55" t="s">
        <v>773</v>
      </c>
      <c r="B55" t="s">
        <v>774</v>
      </c>
    </row>
    <row r="56" spans="1:26">
      <c r="A56" t="s">
        <v>775</v>
      </c>
      <c r="B56" t="s">
        <v>776</v>
      </c>
    </row>
    <row r="57" spans="1:26">
      <c r="A57" t="s">
        <v>777</v>
      </c>
      <c r="B57" t="s">
        <v>778</v>
      </c>
    </row>
    <row r="58" spans="1:26">
      <c r="A58" t="s">
        <v>779</v>
      </c>
      <c r="B58" t="s">
        <v>780</v>
      </c>
    </row>
    <row r="59" spans="1:26">
      <c r="A59" t="s">
        <v>781</v>
      </c>
    </row>
    <row r="60" spans="1:26" s="6" customFormat="1">
      <c r="A60" s="6" t="s">
        <v>782</v>
      </c>
      <c r="B60" s="6" t="s">
        <v>783</v>
      </c>
      <c r="C60" s="6">
        <v>0</v>
      </c>
      <c r="D60" s="6">
        <v>15.5</v>
      </c>
      <c r="E60" s="6">
        <v>31.1</v>
      </c>
      <c r="F60" s="6">
        <v>46.6</v>
      </c>
      <c r="G60" s="6">
        <v>62.2</v>
      </c>
      <c r="H60" s="6">
        <v>77.7</v>
      </c>
      <c r="I60" s="6">
        <v>93.3</v>
      </c>
      <c r="J60" s="6">
        <v>108.8</v>
      </c>
      <c r="K60" s="6">
        <v>124.3</v>
      </c>
      <c r="L60" s="6">
        <v>139.9</v>
      </c>
      <c r="M60" s="6">
        <v>155.4</v>
      </c>
      <c r="N60" s="6">
        <v>171</v>
      </c>
      <c r="O60" s="6">
        <v>186.5</v>
      </c>
      <c r="P60" s="6">
        <v>202.1</v>
      </c>
      <c r="Q60" s="6">
        <v>217.6</v>
      </c>
      <c r="R60" s="6">
        <v>233.1</v>
      </c>
      <c r="S60" s="6">
        <v>248.7</v>
      </c>
      <c r="T60" s="6">
        <v>264.2</v>
      </c>
      <c r="U60" s="6">
        <v>279.8</v>
      </c>
      <c r="V60" s="6">
        <v>295.3</v>
      </c>
      <c r="W60" s="6">
        <v>310.89999999999998</v>
      </c>
      <c r="X60" s="6">
        <v>326.39999999999998</v>
      </c>
      <c r="Y60" s="6">
        <v>341.9</v>
      </c>
      <c r="Z60" s="6">
        <v>357.5</v>
      </c>
    </row>
    <row r="61" spans="1:26" s="6" customFormat="1">
      <c r="A61" s="6" t="s">
        <v>784</v>
      </c>
      <c r="C61" s="6">
        <v>1</v>
      </c>
      <c r="D61" s="6">
        <v>1</v>
      </c>
      <c r="E61" s="6">
        <v>1</v>
      </c>
      <c r="F61" s="6">
        <v>1</v>
      </c>
      <c r="G61" s="6">
        <v>1</v>
      </c>
      <c r="H61" s="6">
        <v>1</v>
      </c>
      <c r="I61" s="6">
        <v>1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</v>
      </c>
      <c r="V61" s="6">
        <v>1</v>
      </c>
      <c r="W61" s="6">
        <v>1</v>
      </c>
      <c r="X61" s="6">
        <v>1</v>
      </c>
      <c r="Y61" s="6">
        <v>1</v>
      </c>
      <c r="Z61" s="6">
        <v>1</v>
      </c>
    </row>
    <row r="62" spans="1:26">
      <c r="A62" t="s">
        <v>785</v>
      </c>
      <c r="B62" t="s">
        <v>102</v>
      </c>
      <c r="C62">
        <v>1.29</v>
      </c>
      <c r="D62">
        <v>1.22</v>
      </c>
      <c r="E62">
        <v>1.1599999999999999</v>
      </c>
      <c r="F62">
        <v>1.1000000000000001</v>
      </c>
      <c r="G62">
        <v>1.05</v>
      </c>
      <c r="H62">
        <v>1</v>
      </c>
      <c r="I62">
        <v>0.96</v>
      </c>
      <c r="J62">
        <v>0.92</v>
      </c>
      <c r="K62">
        <v>0.89</v>
      </c>
      <c r="L62">
        <v>0.85</v>
      </c>
      <c r="M62">
        <v>0.82</v>
      </c>
      <c r="N62">
        <v>0.8</v>
      </c>
      <c r="O62">
        <v>0.77</v>
      </c>
      <c r="P62">
        <v>0.74</v>
      </c>
      <c r="Q62">
        <v>0.72</v>
      </c>
      <c r="R62">
        <v>0.7</v>
      </c>
      <c r="S62">
        <v>0.68</v>
      </c>
      <c r="T62">
        <v>0.66</v>
      </c>
      <c r="U62">
        <v>0.64</v>
      </c>
      <c r="V62">
        <v>0.63</v>
      </c>
      <c r="W62">
        <v>0.61</v>
      </c>
      <c r="X62">
        <v>0.59</v>
      </c>
      <c r="Y62">
        <v>0.57999999999999996</v>
      </c>
      <c r="Z62">
        <v>0.56999999999999995</v>
      </c>
    </row>
    <row r="63" spans="1:26">
      <c r="A63" t="s">
        <v>786</v>
      </c>
      <c r="B63" t="s">
        <v>774</v>
      </c>
      <c r="C63">
        <v>0.98799999999999999</v>
      </c>
      <c r="D63">
        <v>0.99099999999999999</v>
      </c>
      <c r="E63">
        <v>0.99399999999999999</v>
      </c>
      <c r="F63">
        <v>0.996</v>
      </c>
      <c r="G63">
        <v>0.999</v>
      </c>
      <c r="H63">
        <v>1.002</v>
      </c>
      <c r="I63">
        <v>1.0049999999999999</v>
      </c>
      <c r="J63">
        <v>1.008</v>
      </c>
      <c r="K63">
        <v>1.0109999999999999</v>
      </c>
      <c r="L63">
        <v>1.014</v>
      </c>
      <c r="M63">
        <v>1.0169999999999999</v>
      </c>
      <c r="N63">
        <v>1.02</v>
      </c>
      <c r="O63">
        <v>1.0229999999999999</v>
      </c>
      <c r="P63">
        <v>1.026</v>
      </c>
      <c r="Q63">
        <v>1.0289999999999999</v>
      </c>
      <c r="R63">
        <v>1.032</v>
      </c>
      <c r="S63">
        <v>1.0349999999999999</v>
      </c>
      <c r="T63">
        <v>1.038</v>
      </c>
      <c r="U63">
        <v>1.0409999999999999</v>
      </c>
      <c r="V63">
        <v>1.0449999999999999</v>
      </c>
      <c r="W63">
        <v>1.048</v>
      </c>
      <c r="X63">
        <v>1.0509999999999999</v>
      </c>
      <c r="Y63">
        <v>1.054</v>
      </c>
      <c r="Z63">
        <v>1.0569999999999999</v>
      </c>
    </row>
    <row r="64" spans="1:26">
      <c r="A64" t="s">
        <v>787</v>
      </c>
      <c r="B64" t="s">
        <v>776</v>
      </c>
      <c r="C64">
        <v>1.7600000000000001E-2</v>
      </c>
      <c r="D64">
        <v>1.84E-2</v>
      </c>
      <c r="E64">
        <v>1.9099999999999999E-2</v>
      </c>
      <c r="F64">
        <v>1.9900000000000001E-2</v>
      </c>
      <c r="G64">
        <v>2.06E-2</v>
      </c>
      <c r="H64">
        <v>2.1299999999999999E-2</v>
      </c>
      <c r="I64">
        <v>2.1899999999999999E-2</v>
      </c>
      <c r="J64">
        <v>2.2599999999999999E-2</v>
      </c>
      <c r="K64">
        <v>2.3199999999999998E-2</v>
      </c>
      <c r="L64">
        <v>2.3900000000000001E-2</v>
      </c>
      <c r="M64">
        <v>2.4500000000000001E-2</v>
      </c>
      <c r="N64">
        <v>2.5100000000000001E-2</v>
      </c>
      <c r="O64">
        <v>2.5700000000000001E-2</v>
      </c>
      <c r="P64">
        <v>2.63E-2</v>
      </c>
      <c r="Q64">
        <v>2.69E-2</v>
      </c>
      <c r="R64">
        <v>2.75E-2</v>
      </c>
      <c r="S64">
        <v>2.81E-2</v>
      </c>
      <c r="T64">
        <v>2.87E-2</v>
      </c>
      <c r="U64">
        <v>2.93E-2</v>
      </c>
      <c r="V64">
        <v>2.9899999999999999E-2</v>
      </c>
      <c r="W64">
        <v>3.0499999999999999E-2</v>
      </c>
      <c r="X64">
        <v>3.1099999999999999E-2</v>
      </c>
      <c r="Y64">
        <v>3.1600000000000003E-2</v>
      </c>
      <c r="Z64">
        <v>3.2199999999999999E-2</v>
      </c>
    </row>
    <row r="65" spans="1:26">
      <c r="A65" t="s">
        <v>788</v>
      </c>
      <c r="B65" t="s">
        <v>778</v>
      </c>
      <c r="C65">
        <v>2.3E-2</v>
      </c>
      <c r="D65">
        <v>2.41E-2</v>
      </c>
      <c r="E65">
        <v>2.5100000000000001E-2</v>
      </c>
      <c r="F65">
        <v>2.6200000000000001E-2</v>
      </c>
      <c r="G65">
        <v>2.7199999999999998E-2</v>
      </c>
      <c r="H65">
        <v>2.8199999999999999E-2</v>
      </c>
      <c r="I65">
        <v>2.92E-2</v>
      </c>
      <c r="J65">
        <v>3.0200000000000001E-2</v>
      </c>
      <c r="K65">
        <v>3.1199999999999999E-2</v>
      </c>
      <c r="L65">
        <v>3.2099999999999997E-2</v>
      </c>
      <c r="M65">
        <v>3.3000000000000002E-2</v>
      </c>
      <c r="N65">
        <v>3.4000000000000002E-2</v>
      </c>
      <c r="O65">
        <v>3.49E-2</v>
      </c>
      <c r="P65">
        <v>3.5799999999999998E-2</v>
      </c>
      <c r="Q65">
        <v>3.6700000000000003E-2</v>
      </c>
      <c r="R65">
        <v>3.7600000000000001E-2</v>
      </c>
      <c r="S65">
        <v>3.8399999999999997E-2</v>
      </c>
      <c r="T65">
        <v>3.9300000000000002E-2</v>
      </c>
      <c r="U65">
        <v>4.0099999999999997E-2</v>
      </c>
      <c r="V65">
        <v>4.1000000000000002E-2</v>
      </c>
      <c r="W65">
        <v>4.1799999999999997E-2</v>
      </c>
      <c r="X65">
        <v>4.2700000000000002E-2</v>
      </c>
      <c r="Y65">
        <v>4.3499999999999997E-2</v>
      </c>
      <c r="Z65">
        <v>4.4299999999999999E-2</v>
      </c>
    </row>
    <row r="66" spans="1:26">
      <c r="A66" t="s">
        <v>789</v>
      </c>
      <c r="C66">
        <v>28.95</v>
      </c>
      <c r="D66">
        <v>28.95</v>
      </c>
      <c r="E66">
        <v>28.95</v>
      </c>
      <c r="F66">
        <v>28.95</v>
      </c>
      <c r="G66">
        <v>28.95</v>
      </c>
      <c r="H66">
        <v>28.95</v>
      </c>
      <c r="I66">
        <v>28.95</v>
      </c>
      <c r="J66">
        <v>28.95</v>
      </c>
      <c r="K66">
        <v>28.95</v>
      </c>
      <c r="L66">
        <v>28.95</v>
      </c>
      <c r="M66">
        <v>28.95</v>
      </c>
      <c r="N66">
        <v>28.95</v>
      </c>
      <c r="O66">
        <v>28.95</v>
      </c>
      <c r="P66">
        <v>28.95</v>
      </c>
      <c r="Q66">
        <v>28.95</v>
      </c>
      <c r="R66">
        <v>28.95</v>
      </c>
      <c r="S66">
        <v>28.95</v>
      </c>
      <c r="T66">
        <v>28.95</v>
      </c>
      <c r="U66">
        <v>28.95</v>
      </c>
      <c r="V66">
        <v>28.95</v>
      </c>
      <c r="W66">
        <v>28.95</v>
      </c>
      <c r="X66">
        <v>28.95</v>
      </c>
      <c r="Y66">
        <v>28.95</v>
      </c>
      <c r="Z66">
        <v>28.95</v>
      </c>
    </row>
    <row r="67" spans="1:26" s="6" customFormat="1">
      <c r="A67" s="6" t="s">
        <v>790</v>
      </c>
    </row>
    <row r="68" spans="1:26">
      <c r="A68" t="s">
        <v>772</v>
      </c>
      <c r="B68" t="s">
        <v>102</v>
      </c>
    </row>
    <row r="69" spans="1:26">
      <c r="A69" t="s">
        <v>791</v>
      </c>
      <c r="B69" t="s">
        <v>774</v>
      </c>
    </row>
    <row r="70" spans="1:26">
      <c r="A70" t="s">
        <v>792</v>
      </c>
      <c r="B70" t="s">
        <v>776</v>
      </c>
    </row>
    <row r="71" spans="1:26">
      <c r="A71" t="s">
        <v>793</v>
      </c>
      <c r="B71" t="s">
        <v>778</v>
      </c>
    </row>
    <row r="72" spans="1:26">
      <c r="A72" t="s">
        <v>794</v>
      </c>
      <c r="B72" t="s">
        <v>780</v>
      </c>
    </row>
    <row r="73" spans="1:26">
      <c r="A73" t="s">
        <v>795</v>
      </c>
    </row>
    <row r="78" spans="1:26">
      <c r="A78" t="s">
        <v>918</v>
      </c>
      <c r="B78" t="s">
        <v>770</v>
      </c>
      <c r="C78">
        <v>0.7</v>
      </c>
    </row>
    <row r="79" spans="1:26">
      <c r="A79" t="s">
        <v>919</v>
      </c>
      <c r="B79" t="s">
        <v>125</v>
      </c>
      <c r="C79">
        <v>229.9</v>
      </c>
    </row>
    <row r="80" spans="1:26">
      <c r="A80" t="s">
        <v>921</v>
      </c>
      <c r="B80" t="s">
        <v>207</v>
      </c>
      <c r="C80">
        <f>f_b_000_Interpolate2D(C78,C79,C85:E85,C86:Z88,C89:Z91)</f>
        <v>0</v>
      </c>
    </row>
    <row r="83" spans="1:26">
      <c r="A83" s="6" t="s">
        <v>920</v>
      </c>
    </row>
    <row r="85" spans="1:26">
      <c r="A85" s="6" t="s">
        <v>918</v>
      </c>
      <c r="B85" t="s">
        <v>770</v>
      </c>
      <c r="C85" s="188">
        <f>C3</f>
        <v>0.10100000000000001</v>
      </c>
      <c r="D85" s="188">
        <f>C27</f>
        <v>0.10100000000000001</v>
      </c>
      <c r="E85" s="188">
        <f>C51</f>
        <v>0.10100000000000001</v>
      </c>
      <c r="F85" s="188"/>
      <c r="G85" s="188"/>
      <c r="H85" s="188"/>
      <c r="I85" s="188"/>
      <c r="J85" s="188"/>
      <c r="K85" s="188"/>
      <c r="L85" s="188"/>
      <c r="M85" s="188"/>
      <c r="N85" s="188"/>
      <c r="O85" s="188"/>
      <c r="P85" s="188"/>
      <c r="Q85" s="188"/>
      <c r="R85" s="188"/>
      <c r="S85" s="188"/>
      <c r="T85" s="188"/>
      <c r="U85" s="188"/>
      <c r="V85" s="188"/>
      <c r="W85" s="188"/>
      <c r="X85" s="188"/>
      <c r="Y85" s="188"/>
      <c r="Z85" s="188"/>
    </row>
    <row r="86" spans="1:26">
      <c r="A86" s="43" t="s">
        <v>771</v>
      </c>
      <c r="B86" s="6" t="s">
        <v>98</v>
      </c>
      <c r="C86" s="188">
        <f>C5</f>
        <v>0</v>
      </c>
      <c r="D86" s="188">
        <f t="shared" ref="D86:Z86" si="0">D5</f>
        <v>15.71</v>
      </c>
      <c r="E86" s="188">
        <f t="shared" si="0"/>
        <v>31.37</v>
      </c>
      <c r="F86" s="188">
        <f t="shared" si="0"/>
        <v>47</v>
      </c>
      <c r="G86" s="188">
        <f t="shared" si="0"/>
        <v>62.58</v>
      </c>
      <c r="H86" s="188">
        <f t="shared" si="0"/>
        <v>78.11</v>
      </c>
      <c r="I86" s="188">
        <f t="shared" si="0"/>
        <v>93.6</v>
      </c>
      <c r="J86" s="188">
        <f t="shared" si="0"/>
        <v>109.04</v>
      </c>
      <c r="K86" s="188">
        <f t="shared" si="0"/>
        <v>124.44</v>
      </c>
      <c r="L86" s="188">
        <f t="shared" si="0"/>
        <v>139.80000000000001</v>
      </c>
      <c r="M86" s="188">
        <f t="shared" si="0"/>
        <v>155.1</v>
      </c>
      <c r="N86" s="188">
        <f t="shared" si="0"/>
        <v>170.37</v>
      </c>
      <c r="O86" s="188">
        <f t="shared" si="0"/>
        <v>185.58</v>
      </c>
      <c r="P86" s="188">
        <f t="shared" si="0"/>
        <v>200.75</v>
      </c>
      <c r="Q86" s="188">
        <f t="shared" si="0"/>
        <v>215.88</v>
      </c>
      <c r="R86" s="188">
        <f t="shared" si="0"/>
        <v>230.96</v>
      </c>
      <c r="S86" s="188">
        <f t="shared" si="0"/>
        <v>246</v>
      </c>
      <c r="T86" s="188">
        <f t="shared" si="0"/>
        <v>260.99</v>
      </c>
      <c r="U86" s="188">
        <f t="shared" si="0"/>
        <v>275.93</v>
      </c>
      <c r="V86" s="188">
        <f t="shared" si="0"/>
        <v>290.83999999999997</v>
      </c>
      <c r="W86" s="188">
        <f t="shared" si="0"/>
        <v>305.69</v>
      </c>
      <c r="X86" s="188">
        <f t="shared" si="0"/>
        <v>320.51</v>
      </c>
      <c r="Y86" s="188">
        <f t="shared" si="0"/>
        <v>335.27</v>
      </c>
      <c r="Z86" s="188">
        <f t="shared" si="0"/>
        <v>350</v>
      </c>
    </row>
    <row r="87" spans="1:26">
      <c r="A87" s="43"/>
      <c r="B87" s="6"/>
      <c r="C87" s="188">
        <f>C29</f>
        <v>0</v>
      </c>
      <c r="D87" s="188">
        <f t="shared" ref="D87:Z87" si="1">D29</f>
        <v>15.71</v>
      </c>
      <c r="E87" s="188">
        <f t="shared" si="1"/>
        <v>31.37</v>
      </c>
      <c r="F87" s="188">
        <f t="shared" si="1"/>
        <v>47</v>
      </c>
      <c r="G87" s="188">
        <f t="shared" si="1"/>
        <v>62.58</v>
      </c>
      <c r="H87" s="188">
        <f t="shared" si="1"/>
        <v>78.11</v>
      </c>
      <c r="I87" s="188">
        <f t="shared" si="1"/>
        <v>93.6</v>
      </c>
      <c r="J87" s="188">
        <f t="shared" si="1"/>
        <v>109.04</v>
      </c>
      <c r="K87" s="188">
        <f t="shared" si="1"/>
        <v>124.44</v>
      </c>
      <c r="L87" s="188">
        <f t="shared" si="1"/>
        <v>139.80000000000001</v>
      </c>
      <c r="M87" s="188">
        <f t="shared" si="1"/>
        <v>155.1</v>
      </c>
      <c r="N87" s="188">
        <f t="shared" si="1"/>
        <v>170.37</v>
      </c>
      <c r="O87" s="188">
        <f t="shared" si="1"/>
        <v>185.58</v>
      </c>
      <c r="P87" s="188">
        <f t="shared" si="1"/>
        <v>200.75</v>
      </c>
      <c r="Q87" s="188">
        <f t="shared" si="1"/>
        <v>215.88</v>
      </c>
      <c r="R87" s="188">
        <f t="shared" si="1"/>
        <v>230.96</v>
      </c>
      <c r="S87" s="188">
        <f t="shared" si="1"/>
        <v>246</v>
      </c>
      <c r="T87" s="188">
        <f t="shared" si="1"/>
        <v>260.99</v>
      </c>
      <c r="U87" s="188">
        <f t="shared" si="1"/>
        <v>275.93</v>
      </c>
      <c r="V87" s="188">
        <f t="shared" si="1"/>
        <v>290.83999999999997</v>
      </c>
      <c r="W87" s="188">
        <f t="shared" si="1"/>
        <v>305.69</v>
      </c>
      <c r="X87" s="188">
        <f t="shared" si="1"/>
        <v>320.51</v>
      </c>
      <c r="Y87" s="188">
        <f t="shared" si="1"/>
        <v>335.27</v>
      </c>
      <c r="Z87" s="188">
        <f t="shared" si="1"/>
        <v>350</v>
      </c>
    </row>
    <row r="88" spans="1:26">
      <c r="A88" s="43"/>
      <c r="B88" s="6"/>
      <c r="C88" s="188">
        <f>C53</f>
        <v>0</v>
      </c>
      <c r="D88" s="188">
        <f t="shared" ref="D88:Z88" si="2">D53</f>
        <v>15.71</v>
      </c>
      <c r="E88" s="188">
        <f t="shared" si="2"/>
        <v>31.37</v>
      </c>
      <c r="F88" s="188">
        <f t="shared" si="2"/>
        <v>47</v>
      </c>
      <c r="G88" s="188">
        <f t="shared" si="2"/>
        <v>62.58</v>
      </c>
      <c r="H88" s="188">
        <f t="shared" si="2"/>
        <v>78.11</v>
      </c>
      <c r="I88" s="188">
        <f t="shared" si="2"/>
        <v>93.6</v>
      </c>
      <c r="J88" s="188">
        <f t="shared" si="2"/>
        <v>109.04</v>
      </c>
      <c r="K88" s="188">
        <f t="shared" si="2"/>
        <v>124.44</v>
      </c>
      <c r="L88" s="188">
        <f t="shared" si="2"/>
        <v>139.80000000000001</v>
      </c>
      <c r="M88" s="188">
        <f t="shared" si="2"/>
        <v>155.1</v>
      </c>
      <c r="N88" s="188">
        <f t="shared" si="2"/>
        <v>170.37</v>
      </c>
      <c r="O88" s="188">
        <f t="shared" si="2"/>
        <v>185.58</v>
      </c>
      <c r="P88" s="188">
        <f t="shared" si="2"/>
        <v>200.75</v>
      </c>
      <c r="Q88" s="188">
        <f t="shared" si="2"/>
        <v>215.88</v>
      </c>
      <c r="R88" s="188">
        <f t="shared" si="2"/>
        <v>230.96</v>
      </c>
      <c r="S88" s="188">
        <f t="shared" si="2"/>
        <v>246</v>
      </c>
      <c r="T88" s="188">
        <f t="shared" si="2"/>
        <v>260.99</v>
      </c>
      <c r="U88" s="188">
        <f t="shared" si="2"/>
        <v>275.93</v>
      </c>
      <c r="V88" s="188">
        <f t="shared" si="2"/>
        <v>290.83999999999997</v>
      </c>
      <c r="W88" s="188">
        <f t="shared" si="2"/>
        <v>305.69</v>
      </c>
      <c r="X88" s="188">
        <f t="shared" si="2"/>
        <v>320.51</v>
      </c>
      <c r="Y88" s="188">
        <f t="shared" si="2"/>
        <v>335.27</v>
      </c>
      <c r="Z88" s="188">
        <f t="shared" si="2"/>
        <v>350</v>
      </c>
    </row>
    <row r="89" spans="1:26">
      <c r="A89" t="s">
        <v>772</v>
      </c>
      <c r="B89" t="s">
        <v>102</v>
      </c>
      <c r="C89" s="188">
        <f>C6</f>
        <v>0</v>
      </c>
      <c r="D89" s="188">
        <f t="shared" ref="D89:Z89" si="3">D6</f>
        <v>0</v>
      </c>
      <c r="E89" s="188">
        <f t="shared" si="3"/>
        <v>0</v>
      </c>
      <c r="F89" s="188">
        <f t="shared" si="3"/>
        <v>0</v>
      </c>
      <c r="G89" s="188">
        <f t="shared" si="3"/>
        <v>0</v>
      </c>
      <c r="H89" s="188">
        <f t="shared" si="3"/>
        <v>0</v>
      </c>
      <c r="I89" s="188">
        <f t="shared" si="3"/>
        <v>0</v>
      </c>
      <c r="J89" s="188">
        <f t="shared" si="3"/>
        <v>0</v>
      </c>
      <c r="K89" s="188">
        <f t="shared" si="3"/>
        <v>0</v>
      </c>
      <c r="L89" s="188">
        <f t="shared" si="3"/>
        <v>0</v>
      </c>
      <c r="M89" s="188">
        <f t="shared" si="3"/>
        <v>0</v>
      </c>
      <c r="N89" s="188">
        <f t="shared" si="3"/>
        <v>0</v>
      </c>
      <c r="O89" s="188">
        <f t="shared" si="3"/>
        <v>0</v>
      </c>
      <c r="P89" s="188">
        <f t="shared" si="3"/>
        <v>0</v>
      </c>
      <c r="Q89" s="188">
        <f t="shared" si="3"/>
        <v>0</v>
      </c>
      <c r="R89" s="188">
        <f t="shared" si="3"/>
        <v>0</v>
      </c>
      <c r="S89" s="188">
        <f t="shared" si="3"/>
        <v>0</v>
      </c>
      <c r="T89" s="188">
        <f t="shared" si="3"/>
        <v>0</v>
      </c>
      <c r="U89" s="188">
        <f t="shared" si="3"/>
        <v>0</v>
      </c>
      <c r="V89" s="188">
        <f t="shared" si="3"/>
        <v>0</v>
      </c>
      <c r="W89" s="188">
        <f t="shared" si="3"/>
        <v>0</v>
      </c>
      <c r="X89" s="188">
        <f t="shared" si="3"/>
        <v>0</v>
      </c>
      <c r="Y89" s="188">
        <f t="shared" si="3"/>
        <v>0</v>
      </c>
      <c r="Z89" s="188">
        <f t="shared" si="3"/>
        <v>0</v>
      </c>
    </row>
    <row r="90" spans="1:26">
      <c r="C90" s="188">
        <f>C30</f>
        <v>0</v>
      </c>
      <c r="D90" s="188">
        <f t="shared" ref="D90:Z90" si="4">D30</f>
        <v>0</v>
      </c>
      <c r="E90" s="188">
        <f t="shared" si="4"/>
        <v>0</v>
      </c>
      <c r="F90" s="188">
        <f t="shared" si="4"/>
        <v>0</v>
      </c>
      <c r="G90" s="188">
        <f t="shared" si="4"/>
        <v>0</v>
      </c>
      <c r="H90" s="188">
        <f t="shared" si="4"/>
        <v>0</v>
      </c>
      <c r="I90" s="188">
        <f t="shared" si="4"/>
        <v>0</v>
      </c>
      <c r="J90" s="188">
        <f t="shared" si="4"/>
        <v>0</v>
      </c>
      <c r="K90" s="188">
        <f t="shared" si="4"/>
        <v>0</v>
      </c>
      <c r="L90" s="188">
        <f t="shared" si="4"/>
        <v>0</v>
      </c>
      <c r="M90" s="188">
        <f t="shared" si="4"/>
        <v>0</v>
      </c>
      <c r="N90" s="188">
        <f t="shared" si="4"/>
        <v>0</v>
      </c>
      <c r="O90" s="188">
        <f t="shared" si="4"/>
        <v>0</v>
      </c>
      <c r="P90" s="188">
        <f t="shared" si="4"/>
        <v>0</v>
      </c>
      <c r="Q90" s="188">
        <f t="shared" si="4"/>
        <v>0</v>
      </c>
      <c r="R90" s="188">
        <f t="shared" si="4"/>
        <v>0</v>
      </c>
      <c r="S90" s="188">
        <f t="shared" si="4"/>
        <v>0</v>
      </c>
      <c r="T90" s="188">
        <f t="shared" si="4"/>
        <v>0</v>
      </c>
      <c r="U90" s="188">
        <f t="shared" si="4"/>
        <v>0</v>
      </c>
      <c r="V90" s="188">
        <f t="shared" si="4"/>
        <v>0</v>
      </c>
      <c r="W90" s="188">
        <f t="shared" si="4"/>
        <v>0</v>
      </c>
      <c r="X90" s="188">
        <f t="shared" si="4"/>
        <v>0</v>
      </c>
      <c r="Y90" s="188">
        <f t="shared" si="4"/>
        <v>0</v>
      </c>
      <c r="Z90" s="188">
        <f t="shared" si="4"/>
        <v>0</v>
      </c>
    </row>
    <row r="91" spans="1:26">
      <c r="C91" s="188">
        <f>C54</f>
        <v>0</v>
      </c>
      <c r="D91" s="188">
        <f t="shared" ref="D91:Z91" si="5">D54</f>
        <v>0</v>
      </c>
      <c r="E91" s="188">
        <f t="shared" si="5"/>
        <v>0</v>
      </c>
      <c r="F91" s="188">
        <f t="shared" si="5"/>
        <v>0</v>
      </c>
      <c r="G91" s="188">
        <f t="shared" si="5"/>
        <v>0</v>
      </c>
      <c r="H91" s="188">
        <f t="shared" si="5"/>
        <v>0</v>
      </c>
      <c r="I91" s="188">
        <f t="shared" si="5"/>
        <v>0</v>
      </c>
      <c r="J91" s="188">
        <f t="shared" si="5"/>
        <v>0</v>
      </c>
      <c r="K91" s="188">
        <f t="shared" si="5"/>
        <v>0</v>
      </c>
      <c r="L91" s="188">
        <f t="shared" si="5"/>
        <v>0</v>
      </c>
      <c r="M91" s="188">
        <f t="shared" si="5"/>
        <v>0</v>
      </c>
      <c r="N91" s="188">
        <f t="shared" si="5"/>
        <v>0</v>
      </c>
      <c r="O91" s="188">
        <f t="shared" si="5"/>
        <v>0</v>
      </c>
      <c r="P91" s="188">
        <f t="shared" si="5"/>
        <v>0</v>
      </c>
      <c r="Q91" s="188">
        <f t="shared" si="5"/>
        <v>0</v>
      </c>
      <c r="R91" s="188">
        <f t="shared" si="5"/>
        <v>0</v>
      </c>
      <c r="S91" s="188">
        <f t="shared" si="5"/>
        <v>0</v>
      </c>
      <c r="T91" s="188">
        <f t="shared" si="5"/>
        <v>0</v>
      </c>
      <c r="U91" s="188">
        <f t="shared" si="5"/>
        <v>0</v>
      </c>
      <c r="V91" s="188">
        <f t="shared" si="5"/>
        <v>0</v>
      </c>
      <c r="W91" s="188">
        <f t="shared" si="5"/>
        <v>0</v>
      </c>
      <c r="X91" s="188">
        <f t="shared" si="5"/>
        <v>0</v>
      </c>
      <c r="Y91" s="188">
        <f t="shared" si="5"/>
        <v>0</v>
      </c>
      <c r="Z91" s="188">
        <f t="shared" si="5"/>
        <v>0</v>
      </c>
    </row>
    <row r="92" spans="1:26">
      <c r="A92" t="s">
        <v>773</v>
      </c>
      <c r="B92" t="s">
        <v>774</v>
      </c>
      <c r="C92" s="188">
        <f>C7</f>
        <v>0</v>
      </c>
      <c r="D92" s="188">
        <f t="shared" ref="D92:Z92" si="6">D7</f>
        <v>0</v>
      </c>
      <c r="E92" s="188">
        <f t="shared" si="6"/>
        <v>0</v>
      </c>
      <c r="F92" s="188">
        <f t="shared" si="6"/>
        <v>0</v>
      </c>
      <c r="G92" s="188">
        <f t="shared" si="6"/>
        <v>0</v>
      </c>
      <c r="H92" s="188">
        <f t="shared" si="6"/>
        <v>0</v>
      </c>
      <c r="I92" s="188">
        <f t="shared" si="6"/>
        <v>0</v>
      </c>
      <c r="J92" s="188">
        <f t="shared" si="6"/>
        <v>0</v>
      </c>
      <c r="K92" s="188">
        <f t="shared" si="6"/>
        <v>0</v>
      </c>
      <c r="L92" s="188">
        <f t="shared" si="6"/>
        <v>0</v>
      </c>
      <c r="M92" s="188">
        <f t="shared" si="6"/>
        <v>0</v>
      </c>
      <c r="N92" s="188">
        <f t="shared" si="6"/>
        <v>0</v>
      </c>
      <c r="O92" s="188">
        <f t="shared" si="6"/>
        <v>0</v>
      </c>
      <c r="P92" s="188">
        <f t="shared" si="6"/>
        <v>0</v>
      </c>
      <c r="Q92" s="188">
        <f t="shared" si="6"/>
        <v>0</v>
      </c>
      <c r="R92" s="188">
        <f t="shared" si="6"/>
        <v>0</v>
      </c>
      <c r="S92" s="188">
        <f t="shared" si="6"/>
        <v>0</v>
      </c>
      <c r="T92" s="188">
        <f t="shared" si="6"/>
        <v>0</v>
      </c>
      <c r="U92" s="188">
        <f t="shared" si="6"/>
        <v>0</v>
      </c>
      <c r="V92" s="188">
        <f t="shared" si="6"/>
        <v>0</v>
      </c>
      <c r="W92" s="188">
        <f t="shared" si="6"/>
        <v>0</v>
      </c>
      <c r="X92" s="188">
        <f t="shared" si="6"/>
        <v>0</v>
      </c>
      <c r="Y92" s="188">
        <f t="shared" si="6"/>
        <v>0</v>
      </c>
      <c r="Z92" s="188">
        <f t="shared" si="6"/>
        <v>0</v>
      </c>
    </row>
    <row r="93" spans="1:26">
      <c r="C93" s="188">
        <f>C31</f>
        <v>0</v>
      </c>
      <c r="D93" s="188">
        <f t="shared" ref="D93:Z93" si="7">D31</f>
        <v>0</v>
      </c>
      <c r="E93" s="188">
        <f t="shared" si="7"/>
        <v>0</v>
      </c>
      <c r="F93" s="188">
        <f t="shared" si="7"/>
        <v>0</v>
      </c>
      <c r="G93" s="188">
        <f t="shared" si="7"/>
        <v>0</v>
      </c>
      <c r="H93" s="188">
        <f t="shared" si="7"/>
        <v>0</v>
      </c>
      <c r="I93" s="188">
        <f t="shared" si="7"/>
        <v>0</v>
      </c>
      <c r="J93" s="188">
        <f t="shared" si="7"/>
        <v>0</v>
      </c>
      <c r="K93" s="188">
        <f t="shared" si="7"/>
        <v>0</v>
      </c>
      <c r="L93" s="188">
        <f t="shared" si="7"/>
        <v>0</v>
      </c>
      <c r="M93" s="188">
        <f t="shared" si="7"/>
        <v>0</v>
      </c>
      <c r="N93" s="188">
        <f t="shared" si="7"/>
        <v>0</v>
      </c>
      <c r="O93" s="188">
        <f t="shared" si="7"/>
        <v>0</v>
      </c>
      <c r="P93" s="188">
        <f t="shared" si="7"/>
        <v>0</v>
      </c>
      <c r="Q93" s="188">
        <f t="shared" si="7"/>
        <v>0</v>
      </c>
      <c r="R93" s="188">
        <f t="shared" si="7"/>
        <v>0</v>
      </c>
      <c r="S93" s="188">
        <f t="shared" si="7"/>
        <v>0</v>
      </c>
      <c r="T93" s="188">
        <f t="shared" si="7"/>
        <v>0</v>
      </c>
      <c r="U93" s="188">
        <f t="shared" si="7"/>
        <v>0</v>
      </c>
      <c r="V93" s="188">
        <f t="shared" si="7"/>
        <v>0</v>
      </c>
      <c r="W93" s="188">
        <f t="shared" si="7"/>
        <v>0</v>
      </c>
      <c r="X93" s="188">
        <f t="shared" si="7"/>
        <v>0</v>
      </c>
      <c r="Y93" s="188">
        <f t="shared" si="7"/>
        <v>0</v>
      </c>
      <c r="Z93" s="188">
        <f t="shared" si="7"/>
        <v>0</v>
      </c>
    </row>
    <row r="94" spans="1:26">
      <c r="C94" s="188">
        <f>C55</f>
        <v>0</v>
      </c>
      <c r="D94" s="188">
        <f t="shared" ref="D94:Z94" si="8">D55</f>
        <v>0</v>
      </c>
      <c r="E94" s="188">
        <f t="shared" si="8"/>
        <v>0</v>
      </c>
      <c r="F94" s="188">
        <f t="shared" si="8"/>
        <v>0</v>
      </c>
      <c r="G94" s="188">
        <f t="shared" si="8"/>
        <v>0</v>
      </c>
      <c r="H94" s="188">
        <f t="shared" si="8"/>
        <v>0</v>
      </c>
      <c r="I94" s="188">
        <f t="shared" si="8"/>
        <v>0</v>
      </c>
      <c r="J94" s="188">
        <f t="shared" si="8"/>
        <v>0</v>
      </c>
      <c r="K94" s="188">
        <f t="shared" si="8"/>
        <v>0</v>
      </c>
      <c r="L94" s="188">
        <f t="shared" si="8"/>
        <v>0</v>
      </c>
      <c r="M94" s="188">
        <f t="shared" si="8"/>
        <v>0</v>
      </c>
      <c r="N94" s="188">
        <f t="shared" si="8"/>
        <v>0</v>
      </c>
      <c r="O94" s="188">
        <f t="shared" si="8"/>
        <v>0</v>
      </c>
      <c r="P94" s="188">
        <f t="shared" si="8"/>
        <v>0</v>
      </c>
      <c r="Q94" s="188">
        <f t="shared" si="8"/>
        <v>0</v>
      </c>
      <c r="R94" s="188">
        <f t="shared" si="8"/>
        <v>0</v>
      </c>
      <c r="S94" s="188">
        <f t="shared" si="8"/>
        <v>0</v>
      </c>
      <c r="T94" s="188">
        <f t="shared" si="8"/>
        <v>0</v>
      </c>
      <c r="U94" s="188">
        <f t="shared" si="8"/>
        <v>0</v>
      </c>
      <c r="V94" s="188">
        <f t="shared" si="8"/>
        <v>0</v>
      </c>
      <c r="W94" s="188">
        <f t="shared" si="8"/>
        <v>0</v>
      </c>
      <c r="X94" s="188">
        <f t="shared" si="8"/>
        <v>0</v>
      </c>
      <c r="Y94" s="188">
        <f t="shared" si="8"/>
        <v>0</v>
      </c>
      <c r="Z94" s="188">
        <f t="shared" si="8"/>
        <v>0</v>
      </c>
    </row>
    <row r="95" spans="1:26">
      <c r="A95" t="s">
        <v>775</v>
      </c>
      <c r="B95" t="s">
        <v>776</v>
      </c>
      <c r="C95" s="188">
        <f>C8</f>
        <v>0</v>
      </c>
      <c r="D95" s="188">
        <f t="shared" ref="D95:Z95" si="9">D8</f>
        <v>0</v>
      </c>
      <c r="E95" s="188">
        <f t="shared" si="9"/>
        <v>0</v>
      </c>
      <c r="F95" s="188">
        <f t="shared" si="9"/>
        <v>0</v>
      </c>
      <c r="G95" s="188">
        <f t="shared" si="9"/>
        <v>0</v>
      </c>
      <c r="H95" s="188">
        <f t="shared" si="9"/>
        <v>0</v>
      </c>
      <c r="I95" s="188">
        <f t="shared" si="9"/>
        <v>0</v>
      </c>
      <c r="J95" s="188">
        <f t="shared" si="9"/>
        <v>0</v>
      </c>
      <c r="K95" s="188">
        <f t="shared" si="9"/>
        <v>0</v>
      </c>
      <c r="L95" s="188">
        <f t="shared" si="9"/>
        <v>0</v>
      </c>
      <c r="M95" s="188">
        <f t="shared" si="9"/>
        <v>0</v>
      </c>
      <c r="N95" s="188">
        <f t="shared" si="9"/>
        <v>0</v>
      </c>
      <c r="O95" s="188">
        <f t="shared" si="9"/>
        <v>0</v>
      </c>
      <c r="P95" s="188">
        <f t="shared" si="9"/>
        <v>0</v>
      </c>
      <c r="Q95" s="188">
        <f t="shared" si="9"/>
        <v>0</v>
      </c>
      <c r="R95" s="188">
        <f t="shared" si="9"/>
        <v>0</v>
      </c>
      <c r="S95" s="188">
        <f t="shared" si="9"/>
        <v>0</v>
      </c>
      <c r="T95" s="188">
        <f t="shared" si="9"/>
        <v>0</v>
      </c>
      <c r="U95" s="188">
        <f t="shared" si="9"/>
        <v>0</v>
      </c>
      <c r="V95" s="188">
        <f t="shared" si="9"/>
        <v>0</v>
      </c>
      <c r="W95" s="188">
        <f t="shared" si="9"/>
        <v>0</v>
      </c>
      <c r="X95" s="188">
        <f t="shared" si="9"/>
        <v>0</v>
      </c>
      <c r="Y95" s="188">
        <f t="shared" si="9"/>
        <v>0</v>
      </c>
      <c r="Z95" s="188">
        <f t="shared" si="9"/>
        <v>0</v>
      </c>
    </row>
    <row r="96" spans="1:26">
      <c r="C96" s="188">
        <f>C32</f>
        <v>0</v>
      </c>
      <c r="D96" s="188">
        <f t="shared" ref="D96:Z96" si="10">D32</f>
        <v>0</v>
      </c>
      <c r="E96" s="188">
        <f t="shared" si="10"/>
        <v>0</v>
      </c>
      <c r="F96" s="188">
        <f t="shared" si="10"/>
        <v>0</v>
      </c>
      <c r="G96" s="188">
        <f t="shared" si="10"/>
        <v>0</v>
      </c>
      <c r="H96" s="188">
        <f t="shared" si="10"/>
        <v>0</v>
      </c>
      <c r="I96" s="188">
        <f t="shared" si="10"/>
        <v>0</v>
      </c>
      <c r="J96" s="188">
        <f t="shared" si="10"/>
        <v>0</v>
      </c>
      <c r="K96" s="188">
        <f t="shared" si="10"/>
        <v>0</v>
      </c>
      <c r="L96" s="188">
        <f t="shared" si="10"/>
        <v>0</v>
      </c>
      <c r="M96" s="188">
        <f t="shared" si="10"/>
        <v>0</v>
      </c>
      <c r="N96" s="188">
        <f t="shared" si="10"/>
        <v>0</v>
      </c>
      <c r="O96" s="188">
        <f t="shared" si="10"/>
        <v>0</v>
      </c>
      <c r="P96" s="188">
        <f t="shared" si="10"/>
        <v>0</v>
      </c>
      <c r="Q96" s="188">
        <f t="shared" si="10"/>
        <v>0</v>
      </c>
      <c r="R96" s="188">
        <f t="shared" si="10"/>
        <v>0</v>
      </c>
      <c r="S96" s="188">
        <f t="shared" si="10"/>
        <v>0</v>
      </c>
      <c r="T96" s="188">
        <f t="shared" si="10"/>
        <v>0</v>
      </c>
      <c r="U96" s="188">
        <f t="shared" si="10"/>
        <v>0</v>
      </c>
      <c r="V96" s="188">
        <f t="shared" si="10"/>
        <v>0</v>
      </c>
      <c r="W96" s="188">
        <f t="shared" si="10"/>
        <v>0</v>
      </c>
      <c r="X96" s="188">
        <f t="shared" si="10"/>
        <v>0</v>
      </c>
      <c r="Y96" s="188">
        <f t="shared" si="10"/>
        <v>0</v>
      </c>
      <c r="Z96" s="188">
        <f t="shared" si="10"/>
        <v>0</v>
      </c>
    </row>
    <row r="97" spans="1:26">
      <c r="C97" s="188">
        <f>C56</f>
        <v>0</v>
      </c>
      <c r="D97" s="188">
        <f t="shared" ref="D97:Z97" si="11">D56</f>
        <v>0</v>
      </c>
      <c r="E97" s="188">
        <f t="shared" si="11"/>
        <v>0</v>
      </c>
      <c r="F97" s="188">
        <f t="shared" si="11"/>
        <v>0</v>
      </c>
      <c r="G97" s="188">
        <f t="shared" si="11"/>
        <v>0</v>
      </c>
      <c r="H97" s="188">
        <f t="shared" si="11"/>
        <v>0</v>
      </c>
      <c r="I97" s="188">
        <f t="shared" si="11"/>
        <v>0</v>
      </c>
      <c r="J97" s="188">
        <f t="shared" si="11"/>
        <v>0</v>
      </c>
      <c r="K97" s="188">
        <f t="shared" si="11"/>
        <v>0</v>
      </c>
      <c r="L97" s="188">
        <f t="shared" si="11"/>
        <v>0</v>
      </c>
      <c r="M97" s="188">
        <f t="shared" si="11"/>
        <v>0</v>
      </c>
      <c r="N97" s="188">
        <f t="shared" si="11"/>
        <v>0</v>
      </c>
      <c r="O97" s="188">
        <f t="shared" si="11"/>
        <v>0</v>
      </c>
      <c r="P97" s="188">
        <f t="shared" si="11"/>
        <v>0</v>
      </c>
      <c r="Q97" s="188">
        <f t="shared" si="11"/>
        <v>0</v>
      </c>
      <c r="R97" s="188">
        <f t="shared" si="11"/>
        <v>0</v>
      </c>
      <c r="S97" s="188">
        <f t="shared" si="11"/>
        <v>0</v>
      </c>
      <c r="T97" s="188">
        <f t="shared" si="11"/>
        <v>0</v>
      </c>
      <c r="U97" s="188">
        <f t="shared" si="11"/>
        <v>0</v>
      </c>
      <c r="V97" s="188">
        <f t="shared" si="11"/>
        <v>0</v>
      </c>
      <c r="W97" s="188">
        <f t="shared" si="11"/>
        <v>0</v>
      </c>
      <c r="X97" s="188">
        <f t="shared" si="11"/>
        <v>0</v>
      </c>
      <c r="Y97" s="188">
        <f t="shared" si="11"/>
        <v>0</v>
      </c>
      <c r="Z97" s="188">
        <f t="shared" si="11"/>
        <v>0</v>
      </c>
    </row>
    <row r="98" spans="1:26">
      <c r="A98" t="s">
        <v>777</v>
      </c>
      <c r="B98" t="s">
        <v>778</v>
      </c>
      <c r="C98" s="188">
        <f>C9</f>
        <v>0</v>
      </c>
      <c r="D98" s="188">
        <f t="shared" ref="D98:Z98" si="12">D9</f>
        <v>0</v>
      </c>
      <c r="E98" s="188">
        <f t="shared" si="12"/>
        <v>0</v>
      </c>
      <c r="F98" s="188">
        <f t="shared" si="12"/>
        <v>0</v>
      </c>
      <c r="G98" s="188">
        <f t="shared" si="12"/>
        <v>0</v>
      </c>
      <c r="H98" s="188">
        <f t="shared" si="12"/>
        <v>0</v>
      </c>
      <c r="I98" s="188">
        <f t="shared" si="12"/>
        <v>0</v>
      </c>
      <c r="J98" s="188">
        <f t="shared" si="12"/>
        <v>0</v>
      </c>
      <c r="K98" s="188">
        <f t="shared" si="12"/>
        <v>0</v>
      </c>
      <c r="L98" s="188">
        <f t="shared" si="12"/>
        <v>0</v>
      </c>
      <c r="M98" s="188">
        <f t="shared" si="12"/>
        <v>0</v>
      </c>
      <c r="N98" s="188">
        <f t="shared" si="12"/>
        <v>0</v>
      </c>
      <c r="O98" s="188">
        <f t="shared" si="12"/>
        <v>0</v>
      </c>
      <c r="P98" s="188">
        <f t="shared" si="12"/>
        <v>0</v>
      </c>
      <c r="Q98" s="188">
        <f t="shared" si="12"/>
        <v>0</v>
      </c>
      <c r="R98" s="188">
        <f t="shared" si="12"/>
        <v>0</v>
      </c>
      <c r="S98" s="188">
        <f t="shared" si="12"/>
        <v>0</v>
      </c>
      <c r="T98" s="188">
        <f t="shared" si="12"/>
        <v>0</v>
      </c>
      <c r="U98" s="188">
        <f t="shared" si="12"/>
        <v>0</v>
      </c>
      <c r="V98" s="188">
        <f t="shared" si="12"/>
        <v>0</v>
      </c>
      <c r="W98" s="188">
        <f t="shared" si="12"/>
        <v>0</v>
      </c>
      <c r="X98" s="188">
        <f t="shared" si="12"/>
        <v>0</v>
      </c>
      <c r="Y98" s="188">
        <f t="shared" si="12"/>
        <v>0</v>
      </c>
      <c r="Z98" s="188">
        <f t="shared" si="12"/>
        <v>0</v>
      </c>
    </row>
    <row r="99" spans="1:26">
      <c r="C99" s="188">
        <f>C33</f>
        <v>0</v>
      </c>
      <c r="D99" s="188">
        <f t="shared" ref="D99:Z99" si="13">D33</f>
        <v>0</v>
      </c>
      <c r="E99" s="188">
        <f t="shared" si="13"/>
        <v>0</v>
      </c>
      <c r="F99" s="188">
        <f t="shared" si="13"/>
        <v>0</v>
      </c>
      <c r="G99" s="188">
        <f t="shared" si="13"/>
        <v>0</v>
      </c>
      <c r="H99" s="188">
        <f t="shared" si="13"/>
        <v>0</v>
      </c>
      <c r="I99" s="188">
        <f t="shared" si="13"/>
        <v>0</v>
      </c>
      <c r="J99" s="188">
        <f t="shared" si="13"/>
        <v>0</v>
      </c>
      <c r="K99" s="188">
        <f t="shared" si="13"/>
        <v>0</v>
      </c>
      <c r="L99" s="188">
        <f t="shared" si="13"/>
        <v>0</v>
      </c>
      <c r="M99" s="188">
        <f t="shared" si="13"/>
        <v>0</v>
      </c>
      <c r="N99" s="188">
        <f t="shared" si="13"/>
        <v>0</v>
      </c>
      <c r="O99" s="188">
        <f t="shared" si="13"/>
        <v>0</v>
      </c>
      <c r="P99" s="188">
        <f t="shared" si="13"/>
        <v>0</v>
      </c>
      <c r="Q99" s="188">
        <f t="shared" si="13"/>
        <v>0</v>
      </c>
      <c r="R99" s="188">
        <f t="shared" si="13"/>
        <v>0</v>
      </c>
      <c r="S99" s="188">
        <f t="shared" si="13"/>
        <v>0</v>
      </c>
      <c r="T99" s="188">
        <f t="shared" si="13"/>
        <v>0</v>
      </c>
      <c r="U99" s="188">
        <f t="shared" si="13"/>
        <v>0</v>
      </c>
      <c r="V99" s="188">
        <f t="shared" si="13"/>
        <v>0</v>
      </c>
      <c r="W99" s="188">
        <f t="shared" si="13"/>
        <v>0</v>
      </c>
      <c r="X99" s="188">
        <f t="shared" si="13"/>
        <v>0</v>
      </c>
      <c r="Y99" s="188">
        <f t="shared" si="13"/>
        <v>0</v>
      </c>
      <c r="Z99" s="188">
        <f t="shared" si="13"/>
        <v>0</v>
      </c>
    </row>
    <row r="100" spans="1:26">
      <c r="C100" s="188">
        <f>C57</f>
        <v>0</v>
      </c>
      <c r="D100" s="188">
        <f t="shared" ref="D100:Z100" si="14">D57</f>
        <v>0</v>
      </c>
      <c r="E100" s="188">
        <f t="shared" si="14"/>
        <v>0</v>
      </c>
      <c r="F100" s="188">
        <f t="shared" si="14"/>
        <v>0</v>
      </c>
      <c r="G100" s="188">
        <f t="shared" si="14"/>
        <v>0</v>
      </c>
      <c r="H100" s="188">
        <f t="shared" si="14"/>
        <v>0</v>
      </c>
      <c r="I100" s="188">
        <f t="shared" si="14"/>
        <v>0</v>
      </c>
      <c r="J100" s="188">
        <f t="shared" si="14"/>
        <v>0</v>
      </c>
      <c r="K100" s="188">
        <f t="shared" si="14"/>
        <v>0</v>
      </c>
      <c r="L100" s="188">
        <f t="shared" si="14"/>
        <v>0</v>
      </c>
      <c r="M100" s="188">
        <f t="shared" si="14"/>
        <v>0</v>
      </c>
      <c r="N100" s="188">
        <f t="shared" si="14"/>
        <v>0</v>
      </c>
      <c r="O100" s="188">
        <f t="shared" si="14"/>
        <v>0</v>
      </c>
      <c r="P100" s="188">
        <f t="shared" si="14"/>
        <v>0</v>
      </c>
      <c r="Q100" s="188">
        <f t="shared" si="14"/>
        <v>0</v>
      </c>
      <c r="R100" s="188">
        <f t="shared" si="14"/>
        <v>0</v>
      </c>
      <c r="S100" s="188">
        <f t="shared" si="14"/>
        <v>0</v>
      </c>
      <c r="T100" s="188">
        <f t="shared" si="14"/>
        <v>0</v>
      </c>
      <c r="U100" s="188">
        <f t="shared" si="14"/>
        <v>0</v>
      </c>
      <c r="V100" s="188">
        <f t="shared" si="14"/>
        <v>0</v>
      </c>
      <c r="W100" s="188">
        <f t="shared" si="14"/>
        <v>0</v>
      </c>
      <c r="X100" s="188">
        <f t="shared" si="14"/>
        <v>0</v>
      </c>
      <c r="Y100" s="188">
        <f t="shared" si="14"/>
        <v>0</v>
      </c>
      <c r="Z100" s="188">
        <f t="shared" si="14"/>
        <v>0</v>
      </c>
    </row>
    <row r="101" spans="1:26">
      <c r="A101" t="s">
        <v>779</v>
      </c>
      <c r="B101" t="s">
        <v>780</v>
      </c>
      <c r="C101" s="188">
        <f>C10</f>
        <v>0</v>
      </c>
      <c r="D101" s="188">
        <f t="shared" ref="D101:Z101" si="15">D10</f>
        <v>0</v>
      </c>
      <c r="E101" s="188">
        <f t="shared" si="15"/>
        <v>0</v>
      </c>
      <c r="F101" s="188">
        <f t="shared" si="15"/>
        <v>0</v>
      </c>
      <c r="G101" s="188">
        <f t="shared" si="15"/>
        <v>0</v>
      </c>
      <c r="H101" s="188">
        <f t="shared" si="15"/>
        <v>0</v>
      </c>
      <c r="I101" s="188">
        <f t="shared" si="15"/>
        <v>0</v>
      </c>
      <c r="J101" s="188">
        <f t="shared" si="15"/>
        <v>0</v>
      </c>
      <c r="K101" s="188">
        <f t="shared" si="15"/>
        <v>0</v>
      </c>
      <c r="L101" s="188">
        <f t="shared" si="15"/>
        <v>0</v>
      </c>
      <c r="M101" s="188">
        <f t="shared" si="15"/>
        <v>0</v>
      </c>
      <c r="N101" s="188">
        <f t="shared" si="15"/>
        <v>0</v>
      </c>
      <c r="O101" s="188">
        <f t="shared" si="15"/>
        <v>0</v>
      </c>
      <c r="P101" s="188">
        <f t="shared" si="15"/>
        <v>0</v>
      </c>
      <c r="Q101" s="188">
        <f t="shared" si="15"/>
        <v>0</v>
      </c>
      <c r="R101" s="188">
        <f t="shared" si="15"/>
        <v>0</v>
      </c>
      <c r="S101" s="188">
        <f t="shared" si="15"/>
        <v>0</v>
      </c>
      <c r="T101" s="188">
        <f t="shared" si="15"/>
        <v>0</v>
      </c>
      <c r="U101" s="188">
        <f t="shared" si="15"/>
        <v>0</v>
      </c>
      <c r="V101" s="188">
        <f t="shared" si="15"/>
        <v>0</v>
      </c>
      <c r="W101" s="188">
        <f t="shared" si="15"/>
        <v>0</v>
      </c>
      <c r="X101" s="188">
        <f t="shared" si="15"/>
        <v>0</v>
      </c>
      <c r="Y101" s="188">
        <f t="shared" si="15"/>
        <v>0</v>
      </c>
      <c r="Z101" s="188">
        <f t="shared" si="15"/>
        <v>0</v>
      </c>
    </row>
    <row r="102" spans="1:26">
      <c r="C102" s="188">
        <f>C34</f>
        <v>0</v>
      </c>
      <c r="D102" s="188">
        <f t="shared" ref="D102:Z102" si="16">D34</f>
        <v>0</v>
      </c>
      <c r="E102" s="188">
        <f t="shared" si="16"/>
        <v>0</v>
      </c>
      <c r="F102" s="188">
        <f t="shared" si="16"/>
        <v>0</v>
      </c>
      <c r="G102" s="188">
        <f t="shared" si="16"/>
        <v>0</v>
      </c>
      <c r="H102" s="188">
        <f t="shared" si="16"/>
        <v>0</v>
      </c>
      <c r="I102" s="188">
        <f t="shared" si="16"/>
        <v>0</v>
      </c>
      <c r="J102" s="188">
        <f t="shared" si="16"/>
        <v>0</v>
      </c>
      <c r="K102" s="188">
        <f t="shared" si="16"/>
        <v>0</v>
      </c>
      <c r="L102" s="188">
        <f t="shared" si="16"/>
        <v>0</v>
      </c>
      <c r="M102" s="188">
        <f t="shared" si="16"/>
        <v>0</v>
      </c>
      <c r="N102" s="188">
        <f t="shared" si="16"/>
        <v>0</v>
      </c>
      <c r="O102" s="188">
        <f t="shared" si="16"/>
        <v>0</v>
      </c>
      <c r="P102" s="188">
        <f t="shared" si="16"/>
        <v>0</v>
      </c>
      <c r="Q102" s="188">
        <f t="shared" si="16"/>
        <v>0</v>
      </c>
      <c r="R102" s="188">
        <f t="shared" si="16"/>
        <v>0</v>
      </c>
      <c r="S102" s="188">
        <f t="shared" si="16"/>
        <v>0</v>
      </c>
      <c r="T102" s="188">
        <f t="shared" si="16"/>
        <v>0</v>
      </c>
      <c r="U102" s="188">
        <f t="shared" si="16"/>
        <v>0</v>
      </c>
      <c r="V102" s="188">
        <f t="shared" si="16"/>
        <v>0</v>
      </c>
      <c r="W102" s="188">
        <f t="shared" si="16"/>
        <v>0</v>
      </c>
      <c r="X102" s="188">
        <f t="shared" si="16"/>
        <v>0</v>
      </c>
      <c r="Y102" s="188">
        <f t="shared" si="16"/>
        <v>0</v>
      </c>
      <c r="Z102" s="188">
        <f t="shared" si="16"/>
        <v>0</v>
      </c>
    </row>
    <row r="103" spans="1:26">
      <c r="C103" s="188">
        <f>C58</f>
        <v>0</v>
      </c>
      <c r="D103" s="188">
        <f t="shared" ref="D103:Z103" si="17">D58</f>
        <v>0</v>
      </c>
      <c r="E103" s="188">
        <f t="shared" si="17"/>
        <v>0</v>
      </c>
      <c r="F103" s="188">
        <f t="shared" si="17"/>
        <v>0</v>
      </c>
      <c r="G103" s="188">
        <f t="shared" si="17"/>
        <v>0</v>
      </c>
      <c r="H103" s="188">
        <f t="shared" si="17"/>
        <v>0</v>
      </c>
      <c r="I103" s="188">
        <f t="shared" si="17"/>
        <v>0</v>
      </c>
      <c r="J103" s="188">
        <f t="shared" si="17"/>
        <v>0</v>
      </c>
      <c r="K103" s="188">
        <f t="shared" si="17"/>
        <v>0</v>
      </c>
      <c r="L103" s="188">
        <f t="shared" si="17"/>
        <v>0</v>
      </c>
      <c r="M103" s="188">
        <f t="shared" si="17"/>
        <v>0</v>
      </c>
      <c r="N103" s="188">
        <f t="shared" si="17"/>
        <v>0</v>
      </c>
      <c r="O103" s="188">
        <f t="shared" si="17"/>
        <v>0</v>
      </c>
      <c r="P103" s="188">
        <f t="shared" si="17"/>
        <v>0</v>
      </c>
      <c r="Q103" s="188">
        <f t="shared" si="17"/>
        <v>0</v>
      </c>
      <c r="R103" s="188">
        <f t="shared" si="17"/>
        <v>0</v>
      </c>
      <c r="S103" s="188">
        <f t="shared" si="17"/>
        <v>0</v>
      </c>
      <c r="T103" s="188">
        <f t="shared" si="17"/>
        <v>0</v>
      </c>
      <c r="U103" s="188">
        <f t="shared" si="17"/>
        <v>0</v>
      </c>
      <c r="V103" s="188">
        <f t="shared" si="17"/>
        <v>0</v>
      </c>
      <c r="W103" s="188">
        <f t="shared" si="17"/>
        <v>0</v>
      </c>
      <c r="X103" s="188">
        <f t="shared" si="17"/>
        <v>0</v>
      </c>
      <c r="Y103" s="188">
        <f t="shared" si="17"/>
        <v>0</v>
      </c>
      <c r="Z103" s="188">
        <f t="shared" si="17"/>
        <v>0</v>
      </c>
    </row>
    <row r="104" spans="1:26">
      <c r="A104" t="s">
        <v>781</v>
      </c>
      <c r="C104" s="188">
        <f>C11</f>
        <v>0</v>
      </c>
      <c r="D104" s="188">
        <f t="shared" ref="D104:Z104" si="18">D11</f>
        <v>0</v>
      </c>
      <c r="E104" s="188">
        <f t="shared" si="18"/>
        <v>0</v>
      </c>
      <c r="F104" s="188">
        <f t="shared" si="18"/>
        <v>0</v>
      </c>
      <c r="G104" s="188">
        <f t="shared" si="18"/>
        <v>0</v>
      </c>
      <c r="H104" s="188">
        <f t="shared" si="18"/>
        <v>0</v>
      </c>
      <c r="I104" s="188">
        <f t="shared" si="18"/>
        <v>0</v>
      </c>
      <c r="J104" s="188">
        <f t="shared" si="18"/>
        <v>0</v>
      </c>
      <c r="K104" s="188">
        <f t="shared" si="18"/>
        <v>0</v>
      </c>
      <c r="L104" s="188">
        <f t="shared" si="18"/>
        <v>0</v>
      </c>
      <c r="M104" s="188">
        <f t="shared" si="18"/>
        <v>0</v>
      </c>
      <c r="N104" s="188">
        <f t="shared" si="18"/>
        <v>0</v>
      </c>
      <c r="O104" s="188">
        <f t="shared" si="18"/>
        <v>0</v>
      </c>
      <c r="P104" s="188">
        <f t="shared" si="18"/>
        <v>0</v>
      </c>
      <c r="Q104" s="188">
        <f t="shared" si="18"/>
        <v>0</v>
      </c>
      <c r="R104" s="188">
        <f t="shared" si="18"/>
        <v>0</v>
      </c>
      <c r="S104" s="188">
        <f t="shared" si="18"/>
        <v>0</v>
      </c>
      <c r="T104" s="188">
        <f t="shared" si="18"/>
        <v>0</v>
      </c>
      <c r="U104" s="188">
        <f t="shared" si="18"/>
        <v>0</v>
      </c>
      <c r="V104" s="188">
        <f t="shared" si="18"/>
        <v>0</v>
      </c>
      <c r="W104" s="188">
        <f t="shared" si="18"/>
        <v>0</v>
      </c>
      <c r="X104" s="188">
        <f t="shared" si="18"/>
        <v>0</v>
      </c>
      <c r="Y104" s="188">
        <f t="shared" si="18"/>
        <v>0</v>
      </c>
      <c r="Z104" s="188">
        <f t="shared" si="18"/>
        <v>0</v>
      </c>
    </row>
    <row r="105" spans="1:26">
      <c r="C105" s="188">
        <f>C35</f>
        <v>0</v>
      </c>
      <c r="D105" s="188">
        <f t="shared" ref="D105:Z105" si="19">D35</f>
        <v>0</v>
      </c>
      <c r="E105" s="188">
        <f t="shared" si="19"/>
        <v>0</v>
      </c>
      <c r="F105" s="188">
        <f t="shared" si="19"/>
        <v>0</v>
      </c>
      <c r="G105" s="188">
        <f t="shared" si="19"/>
        <v>0</v>
      </c>
      <c r="H105" s="188">
        <f t="shared" si="19"/>
        <v>0</v>
      </c>
      <c r="I105" s="188">
        <f t="shared" si="19"/>
        <v>0</v>
      </c>
      <c r="J105" s="188">
        <f t="shared" si="19"/>
        <v>0</v>
      </c>
      <c r="K105" s="188">
        <f t="shared" si="19"/>
        <v>0</v>
      </c>
      <c r="L105" s="188">
        <f t="shared" si="19"/>
        <v>0</v>
      </c>
      <c r="M105" s="188">
        <f t="shared" si="19"/>
        <v>0</v>
      </c>
      <c r="N105" s="188">
        <f t="shared" si="19"/>
        <v>0</v>
      </c>
      <c r="O105" s="188">
        <f t="shared" si="19"/>
        <v>0</v>
      </c>
      <c r="P105" s="188">
        <f t="shared" si="19"/>
        <v>0</v>
      </c>
      <c r="Q105" s="188">
        <f t="shared" si="19"/>
        <v>0</v>
      </c>
      <c r="R105" s="188">
        <f t="shared" si="19"/>
        <v>0</v>
      </c>
      <c r="S105" s="188">
        <f t="shared" si="19"/>
        <v>0</v>
      </c>
      <c r="T105" s="188">
        <f t="shared" si="19"/>
        <v>0</v>
      </c>
      <c r="U105" s="188">
        <f t="shared" si="19"/>
        <v>0</v>
      </c>
      <c r="V105" s="188">
        <f t="shared" si="19"/>
        <v>0</v>
      </c>
      <c r="W105" s="188">
        <f t="shared" si="19"/>
        <v>0</v>
      </c>
      <c r="X105" s="188">
        <f t="shared" si="19"/>
        <v>0</v>
      </c>
      <c r="Y105" s="188">
        <f t="shared" si="19"/>
        <v>0</v>
      </c>
      <c r="Z105" s="188">
        <f t="shared" si="19"/>
        <v>0</v>
      </c>
    </row>
    <row r="106" spans="1:26">
      <c r="C106" s="188">
        <f>C59</f>
        <v>0</v>
      </c>
      <c r="D106" s="188">
        <f t="shared" ref="D106:Z106" si="20">D59</f>
        <v>0</v>
      </c>
      <c r="E106" s="188">
        <f t="shared" si="20"/>
        <v>0</v>
      </c>
      <c r="F106" s="188">
        <f t="shared" si="20"/>
        <v>0</v>
      </c>
      <c r="G106" s="188">
        <f t="shared" si="20"/>
        <v>0</v>
      </c>
      <c r="H106" s="188">
        <f t="shared" si="20"/>
        <v>0</v>
      </c>
      <c r="I106" s="188">
        <f t="shared" si="20"/>
        <v>0</v>
      </c>
      <c r="J106" s="188">
        <f t="shared" si="20"/>
        <v>0</v>
      </c>
      <c r="K106" s="188">
        <f t="shared" si="20"/>
        <v>0</v>
      </c>
      <c r="L106" s="188">
        <f t="shared" si="20"/>
        <v>0</v>
      </c>
      <c r="M106" s="188">
        <f t="shared" si="20"/>
        <v>0</v>
      </c>
      <c r="N106" s="188">
        <f t="shared" si="20"/>
        <v>0</v>
      </c>
      <c r="O106" s="188">
        <f t="shared" si="20"/>
        <v>0</v>
      </c>
      <c r="P106" s="188">
        <f t="shared" si="20"/>
        <v>0</v>
      </c>
      <c r="Q106" s="188">
        <f t="shared" si="20"/>
        <v>0</v>
      </c>
      <c r="R106" s="188">
        <f t="shared" si="20"/>
        <v>0</v>
      </c>
      <c r="S106" s="188">
        <f t="shared" si="20"/>
        <v>0</v>
      </c>
      <c r="T106" s="188">
        <f t="shared" si="20"/>
        <v>0</v>
      </c>
      <c r="U106" s="188">
        <f t="shared" si="20"/>
        <v>0</v>
      </c>
      <c r="V106" s="188">
        <f t="shared" si="20"/>
        <v>0</v>
      </c>
      <c r="W106" s="188">
        <f t="shared" si="20"/>
        <v>0</v>
      </c>
      <c r="X106" s="188">
        <f t="shared" si="20"/>
        <v>0</v>
      </c>
      <c r="Y106" s="188">
        <f t="shared" si="20"/>
        <v>0</v>
      </c>
      <c r="Z106" s="188">
        <f t="shared" si="20"/>
        <v>0</v>
      </c>
    </row>
    <row r="107" spans="1:26">
      <c r="A107" s="6" t="s">
        <v>782</v>
      </c>
      <c r="B107" s="6" t="s">
        <v>783</v>
      </c>
      <c r="C107" s="188">
        <f>C12</f>
        <v>0</v>
      </c>
      <c r="D107" s="188">
        <f t="shared" ref="D107:Z107" si="21">D12</f>
        <v>15.5</v>
      </c>
      <c r="E107" s="188">
        <f t="shared" si="21"/>
        <v>31.1</v>
      </c>
      <c r="F107" s="188">
        <f t="shared" si="21"/>
        <v>46.6</v>
      </c>
      <c r="G107" s="188">
        <f t="shared" si="21"/>
        <v>62.2</v>
      </c>
      <c r="H107" s="188">
        <f t="shared" si="21"/>
        <v>77.7</v>
      </c>
      <c r="I107" s="188">
        <f t="shared" si="21"/>
        <v>93.3</v>
      </c>
      <c r="J107" s="188">
        <f t="shared" si="21"/>
        <v>108.8</v>
      </c>
      <c r="K107" s="188">
        <f t="shared" si="21"/>
        <v>124.3</v>
      </c>
      <c r="L107" s="188">
        <f t="shared" si="21"/>
        <v>139.9</v>
      </c>
      <c r="M107" s="188">
        <f t="shared" si="21"/>
        <v>155.4</v>
      </c>
      <c r="N107" s="188">
        <f t="shared" si="21"/>
        <v>171</v>
      </c>
      <c r="O107" s="188">
        <f t="shared" si="21"/>
        <v>186.5</v>
      </c>
      <c r="P107" s="188">
        <f t="shared" si="21"/>
        <v>202.1</v>
      </c>
      <c r="Q107" s="188">
        <f t="shared" si="21"/>
        <v>217.6</v>
      </c>
      <c r="R107" s="188">
        <f t="shared" si="21"/>
        <v>233.1</v>
      </c>
      <c r="S107" s="188">
        <f t="shared" si="21"/>
        <v>248.7</v>
      </c>
      <c r="T107" s="188">
        <f t="shared" si="21"/>
        <v>264.2</v>
      </c>
      <c r="U107" s="188">
        <f t="shared" si="21"/>
        <v>279.8</v>
      </c>
      <c r="V107" s="188">
        <f t="shared" si="21"/>
        <v>295.3</v>
      </c>
      <c r="W107" s="188">
        <f t="shared" si="21"/>
        <v>310.89999999999998</v>
      </c>
      <c r="X107" s="188">
        <f t="shared" si="21"/>
        <v>326.39999999999998</v>
      </c>
      <c r="Y107" s="188">
        <f t="shared" si="21"/>
        <v>341.9</v>
      </c>
      <c r="Z107" s="188">
        <f t="shared" si="21"/>
        <v>357.5</v>
      </c>
    </row>
    <row r="108" spans="1:26">
      <c r="A108" s="6"/>
      <c r="B108" s="6"/>
      <c r="C108" s="188">
        <f>C36</f>
        <v>0</v>
      </c>
      <c r="D108" s="188">
        <f t="shared" ref="D108:Z108" si="22">D36</f>
        <v>15.5</v>
      </c>
      <c r="E108" s="188">
        <f t="shared" si="22"/>
        <v>31.1</v>
      </c>
      <c r="F108" s="188">
        <f t="shared" si="22"/>
        <v>46.6</v>
      </c>
      <c r="G108" s="188">
        <f t="shared" si="22"/>
        <v>62.2</v>
      </c>
      <c r="H108" s="188">
        <f t="shared" si="22"/>
        <v>77.7</v>
      </c>
      <c r="I108" s="188">
        <f t="shared" si="22"/>
        <v>93.3</v>
      </c>
      <c r="J108" s="188">
        <f t="shared" si="22"/>
        <v>108.8</v>
      </c>
      <c r="K108" s="188">
        <f t="shared" si="22"/>
        <v>124.3</v>
      </c>
      <c r="L108" s="188">
        <f t="shared" si="22"/>
        <v>139.9</v>
      </c>
      <c r="M108" s="188">
        <f t="shared" si="22"/>
        <v>155.4</v>
      </c>
      <c r="N108" s="188">
        <f t="shared" si="22"/>
        <v>171</v>
      </c>
      <c r="O108" s="188">
        <f t="shared" si="22"/>
        <v>186.5</v>
      </c>
      <c r="P108" s="188">
        <f t="shared" si="22"/>
        <v>202.1</v>
      </c>
      <c r="Q108" s="188">
        <f t="shared" si="22"/>
        <v>217.6</v>
      </c>
      <c r="R108" s="188">
        <f t="shared" si="22"/>
        <v>233.1</v>
      </c>
      <c r="S108" s="188">
        <f t="shared" si="22"/>
        <v>248.7</v>
      </c>
      <c r="T108" s="188">
        <f t="shared" si="22"/>
        <v>264.2</v>
      </c>
      <c r="U108" s="188">
        <f t="shared" si="22"/>
        <v>279.8</v>
      </c>
      <c r="V108" s="188">
        <f t="shared" si="22"/>
        <v>295.3</v>
      </c>
      <c r="W108" s="188">
        <f t="shared" si="22"/>
        <v>310.89999999999998</v>
      </c>
      <c r="X108" s="188">
        <f t="shared" si="22"/>
        <v>326.39999999999998</v>
      </c>
      <c r="Y108" s="188">
        <f t="shared" si="22"/>
        <v>341.9</v>
      </c>
      <c r="Z108" s="188">
        <f t="shared" si="22"/>
        <v>357.5</v>
      </c>
    </row>
    <row r="109" spans="1:26">
      <c r="A109" s="6"/>
      <c r="B109" s="6"/>
      <c r="C109" s="188">
        <f>C60</f>
        <v>0</v>
      </c>
      <c r="D109" s="188">
        <f t="shared" ref="D109:Z109" si="23">D60</f>
        <v>15.5</v>
      </c>
      <c r="E109" s="188">
        <f t="shared" si="23"/>
        <v>31.1</v>
      </c>
      <c r="F109" s="188">
        <f t="shared" si="23"/>
        <v>46.6</v>
      </c>
      <c r="G109" s="188">
        <f t="shared" si="23"/>
        <v>62.2</v>
      </c>
      <c r="H109" s="188">
        <f t="shared" si="23"/>
        <v>77.7</v>
      </c>
      <c r="I109" s="188">
        <f t="shared" si="23"/>
        <v>93.3</v>
      </c>
      <c r="J109" s="188">
        <f t="shared" si="23"/>
        <v>108.8</v>
      </c>
      <c r="K109" s="188">
        <f t="shared" si="23"/>
        <v>124.3</v>
      </c>
      <c r="L109" s="188">
        <f t="shared" si="23"/>
        <v>139.9</v>
      </c>
      <c r="M109" s="188">
        <f t="shared" si="23"/>
        <v>155.4</v>
      </c>
      <c r="N109" s="188">
        <f t="shared" si="23"/>
        <v>171</v>
      </c>
      <c r="O109" s="188">
        <f t="shared" si="23"/>
        <v>186.5</v>
      </c>
      <c r="P109" s="188">
        <f t="shared" si="23"/>
        <v>202.1</v>
      </c>
      <c r="Q109" s="188">
        <f t="shared" si="23"/>
        <v>217.6</v>
      </c>
      <c r="R109" s="188">
        <f t="shared" si="23"/>
        <v>233.1</v>
      </c>
      <c r="S109" s="188">
        <f t="shared" si="23"/>
        <v>248.7</v>
      </c>
      <c r="T109" s="188">
        <f t="shared" si="23"/>
        <v>264.2</v>
      </c>
      <c r="U109" s="188">
        <f t="shared" si="23"/>
        <v>279.8</v>
      </c>
      <c r="V109" s="188">
        <f t="shared" si="23"/>
        <v>295.3</v>
      </c>
      <c r="W109" s="188">
        <f t="shared" si="23"/>
        <v>310.89999999999998</v>
      </c>
      <c r="X109" s="188">
        <f t="shared" si="23"/>
        <v>326.39999999999998</v>
      </c>
      <c r="Y109" s="188">
        <f t="shared" si="23"/>
        <v>341.9</v>
      </c>
      <c r="Z109" s="188">
        <f t="shared" si="23"/>
        <v>357.5</v>
      </c>
    </row>
    <row r="110" spans="1:26">
      <c r="A110" s="6" t="s">
        <v>784</v>
      </c>
      <c r="B110" s="6"/>
      <c r="C110" s="188">
        <f>C13</f>
        <v>1</v>
      </c>
      <c r="D110" s="188">
        <f t="shared" ref="D110:Z110" si="24">D13</f>
        <v>1</v>
      </c>
      <c r="E110" s="188">
        <f t="shared" si="24"/>
        <v>1</v>
      </c>
      <c r="F110" s="188">
        <f t="shared" si="24"/>
        <v>1</v>
      </c>
      <c r="G110" s="188">
        <f t="shared" si="24"/>
        <v>1</v>
      </c>
      <c r="H110" s="188">
        <f t="shared" si="24"/>
        <v>1</v>
      </c>
      <c r="I110" s="188">
        <f t="shared" si="24"/>
        <v>1</v>
      </c>
      <c r="J110" s="188">
        <f t="shared" si="24"/>
        <v>1</v>
      </c>
      <c r="K110" s="188">
        <f t="shared" si="24"/>
        <v>1</v>
      </c>
      <c r="L110" s="188">
        <f t="shared" si="24"/>
        <v>1</v>
      </c>
      <c r="M110" s="188">
        <f t="shared" si="24"/>
        <v>1</v>
      </c>
      <c r="N110" s="188">
        <f t="shared" si="24"/>
        <v>1</v>
      </c>
      <c r="O110" s="188">
        <f t="shared" si="24"/>
        <v>1</v>
      </c>
      <c r="P110" s="188">
        <f t="shared" si="24"/>
        <v>1</v>
      </c>
      <c r="Q110" s="188">
        <f t="shared" si="24"/>
        <v>1</v>
      </c>
      <c r="R110" s="188">
        <f t="shared" si="24"/>
        <v>1</v>
      </c>
      <c r="S110" s="188">
        <f t="shared" si="24"/>
        <v>1</v>
      </c>
      <c r="T110" s="188">
        <f t="shared" si="24"/>
        <v>1</v>
      </c>
      <c r="U110" s="188">
        <f t="shared" si="24"/>
        <v>1</v>
      </c>
      <c r="V110" s="188">
        <f t="shared" si="24"/>
        <v>1</v>
      </c>
      <c r="W110" s="188">
        <f t="shared" si="24"/>
        <v>1</v>
      </c>
      <c r="X110" s="188">
        <f t="shared" si="24"/>
        <v>1</v>
      </c>
      <c r="Y110" s="188">
        <f t="shared" si="24"/>
        <v>1</v>
      </c>
      <c r="Z110" s="188">
        <f t="shared" si="24"/>
        <v>1</v>
      </c>
    </row>
    <row r="111" spans="1:26">
      <c r="A111" s="6"/>
      <c r="B111" s="6"/>
      <c r="C111" s="188">
        <f>C37</f>
        <v>1</v>
      </c>
      <c r="D111" s="188">
        <f t="shared" ref="D111:Z111" si="25">D37</f>
        <v>1</v>
      </c>
      <c r="E111" s="188">
        <f t="shared" si="25"/>
        <v>1</v>
      </c>
      <c r="F111" s="188">
        <f t="shared" si="25"/>
        <v>1</v>
      </c>
      <c r="G111" s="188">
        <f t="shared" si="25"/>
        <v>1</v>
      </c>
      <c r="H111" s="188">
        <f t="shared" si="25"/>
        <v>1</v>
      </c>
      <c r="I111" s="188">
        <f t="shared" si="25"/>
        <v>1</v>
      </c>
      <c r="J111" s="188">
        <f t="shared" si="25"/>
        <v>1</v>
      </c>
      <c r="K111" s="188">
        <f t="shared" si="25"/>
        <v>1</v>
      </c>
      <c r="L111" s="188">
        <f t="shared" si="25"/>
        <v>1</v>
      </c>
      <c r="M111" s="188">
        <f t="shared" si="25"/>
        <v>1</v>
      </c>
      <c r="N111" s="188">
        <f t="shared" si="25"/>
        <v>1</v>
      </c>
      <c r="O111" s="188">
        <f t="shared" si="25"/>
        <v>1</v>
      </c>
      <c r="P111" s="188">
        <f t="shared" si="25"/>
        <v>1</v>
      </c>
      <c r="Q111" s="188">
        <f t="shared" si="25"/>
        <v>1</v>
      </c>
      <c r="R111" s="188">
        <f t="shared" si="25"/>
        <v>1</v>
      </c>
      <c r="S111" s="188">
        <f t="shared" si="25"/>
        <v>1</v>
      </c>
      <c r="T111" s="188">
        <f t="shared" si="25"/>
        <v>1</v>
      </c>
      <c r="U111" s="188">
        <f t="shared" si="25"/>
        <v>1</v>
      </c>
      <c r="V111" s="188">
        <f t="shared" si="25"/>
        <v>1</v>
      </c>
      <c r="W111" s="188">
        <f t="shared" si="25"/>
        <v>1</v>
      </c>
      <c r="X111" s="188">
        <f t="shared" si="25"/>
        <v>1</v>
      </c>
      <c r="Y111" s="188">
        <f t="shared" si="25"/>
        <v>1</v>
      </c>
      <c r="Z111" s="188">
        <f t="shared" si="25"/>
        <v>1</v>
      </c>
    </row>
    <row r="112" spans="1:26">
      <c r="A112" s="6"/>
      <c r="B112" s="6"/>
      <c r="C112" s="188">
        <f>C61</f>
        <v>1</v>
      </c>
      <c r="D112" s="188">
        <f t="shared" ref="D112:Z112" si="26">D61</f>
        <v>1</v>
      </c>
      <c r="E112" s="188">
        <f t="shared" si="26"/>
        <v>1</v>
      </c>
      <c r="F112" s="188">
        <f t="shared" si="26"/>
        <v>1</v>
      </c>
      <c r="G112" s="188">
        <f t="shared" si="26"/>
        <v>1</v>
      </c>
      <c r="H112" s="188">
        <f t="shared" si="26"/>
        <v>1</v>
      </c>
      <c r="I112" s="188">
        <f t="shared" si="26"/>
        <v>1</v>
      </c>
      <c r="J112" s="188">
        <f t="shared" si="26"/>
        <v>1</v>
      </c>
      <c r="K112" s="188">
        <f t="shared" si="26"/>
        <v>1</v>
      </c>
      <c r="L112" s="188">
        <f t="shared" si="26"/>
        <v>1</v>
      </c>
      <c r="M112" s="188">
        <f t="shared" si="26"/>
        <v>1</v>
      </c>
      <c r="N112" s="188">
        <f t="shared" si="26"/>
        <v>1</v>
      </c>
      <c r="O112" s="188">
        <f t="shared" si="26"/>
        <v>1</v>
      </c>
      <c r="P112" s="188">
        <f t="shared" si="26"/>
        <v>1</v>
      </c>
      <c r="Q112" s="188">
        <f t="shared" si="26"/>
        <v>1</v>
      </c>
      <c r="R112" s="188">
        <f t="shared" si="26"/>
        <v>1</v>
      </c>
      <c r="S112" s="188">
        <f t="shared" si="26"/>
        <v>1</v>
      </c>
      <c r="T112" s="188">
        <f t="shared" si="26"/>
        <v>1</v>
      </c>
      <c r="U112" s="188">
        <f t="shared" si="26"/>
        <v>1</v>
      </c>
      <c r="V112" s="188">
        <f t="shared" si="26"/>
        <v>1</v>
      </c>
      <c r="W112" s="188">
        <f t="shared" si="26"/>
        <v>1</v>
      </c>
      <c r="X112" s="188">
        <f t="shared" si="26"/>
        <v>1</v>
      </c>
      <c r="Y112" s="188">
        <f t="shared" si="26"/>
        <v>1</v>
      </c>
      <c r="Z112" s="188">
        <f t="shared" si="26"/>
        <v>1</v>
      </c>
    </row>
    <row r="113" spans="1:26">
      <c r="A113" t="s">
        <v>785</v>
      </c>
      <c r="B113" t="s">
        <v>102</v>
      </c>
      <c r="C113" s="188">
        <f>C14</f>
        <v>1.29</v>
      </c>
      <c r="D113" s="188">
        <f t="shared" ref="D113:Z113" si="27">D14</f>
        <v>1.22</v>
      </c>
      <c r="E113" s="188">
        <f t="shared" si="27"/>
        <v>1.1599999999999999</v>
      </c>
      <c r="F113" s="188">
        <f t="shared" si="27"/>
        <v>1.1000000000000001</v>
      </c>
      <c r="G113" s="188">
        <f t="shared" si="27"/>
        <v>1.05</v>
      </c>
      <c r="H113" s="188">
        <f t="shared" si="27"/>
        <v>1</v>
      </c>
      <c r="I113" s="188">
        <f t="shared" si="27"/>
        <v>0.96</v>
      </c>
      <c r="J113" s="188">
        <f t="shared" si="27"/>
        <v>0.92</v>
      </c>
      <c r="K113" s="188">
        <f t="shared" si="27"/>
        <v>0.89</v>
      </c>
      <c r="L113" s="188">
        <f t="shared" si="27"/>
        <v>0.85</v>
      </c>
      <c r="M113" s="188">
        <f t="shared" si="27"/>
        <v>0.82</v>
      </c>
      <c r="N113" s="188">
        <f t="shared" si="27"/>
        <v>0.8</v>
      </c>
      <c r="O113" s="188">
        <f t="shared" si="27"/>
        <v>0.77</v>
      </c>
      <c r="P113" s="188">
        <f t="shared" si="27"/>
        <v>0.74</v>
      </c>
      <c r="Q113" s="188">
        <f t="shared" si="27"/>
        <v>0.72</v>
      </c>
      <c r="R113" s="188">
        <f t="shared" si="27"/>
        <v>0.7</v>
      </c>
      <c r="S113" s="188">
        <f t="shared" si="27"/>
        <v>0.68</v>
      </c>
      <c r="T113" s="188">
        <f t="shared" si="27"/>
        <v>0.66</v>
      </c>
      <c r="U113" s="188">
        <f t="shared" si="27"/>
        <v>0.64</v>
      </c>
      <c r="V113" s="188">
        <f t="shared" si="27"/>
        <v>0.63</v>
      </c>
      <c r="W113" s="188">
        <f t="shared" si="27"/>
        <v>0.61</v>
      </c>
      <c r="X113" s="188">
        <f t="shared" si="27"/>
        <v>0.59</v>
      </c>
      <c r="Y113" s="188">
        <f t="shared" si="27"/>
        <v>0.57999999999999996</v>
      </c>
      <c r="Z113" s="188">
        <f t="shared" si="27"/>
        <v>0.56999999999999995</v>
      </c>
    </row>
    <row r="114" spans="1:26">
      <c r="C114" s="188">
        <f>C38</f>
        <v>1.29</v>
      </c>
      <c r="D114" s="188">
        <f t="shared" ref="D114:Z114" si="28">D38</f>
        <v>1.22</v>
      </c>
      <c r="E114" s="188">
        <f t="shared" si="28"/>
        <v>1.1599999999999999</v>
      </c>
      <c r="F114" s="188">
        <f t="shared" si="28"/>
        <v>1.1000000000000001</v>
      </c>
      <c r="G114" s="188">
        <f t="shared" si="28"/>
        <v>1.05</v>
      </c>
      <c r="H114" s="188">
        <f t="shared" si="28"/>
        <v>1</v>
      </c>
      <c r="I114" s="188">
        <f t="shared" si="28"/>
        <v>0.96</v>
      </c>
      <c r="J114" s="188">
        <f t="shared" si="28"/>
        <v>0.92</v>
      </c>
      <c r="K114" s="188">
        <f t="shared" si="28"/>
        <v>0.89</v>
      </c>
      <c r="L114" s="188">
        <f t="shared" si="28"/>
        <v>0.85</v>
      </c>
      <c r="M114" s="188">
        <f t="shared" si="28"/>
        <v>0.82</v>
      </c>
      <c r="N114" s="188">
        <f t="shared" si="28"/>
        <v>0.8</v>
      </c>
      <c r="O114" s="188">
        <f t="shared" si="28"/>
        <v>0.77</v>
      </c>
      <c r="P114" s="188">
        <f t="shared" si="28"/>
        <v>0.74</v>
      </c>
      <c r="Q114" s="188">
        <f t="shared" si="28"/>
        <v>0.72</v>
      </c>
      <c r="R114" s="188">
        <f t="shared" si="28"/>
        <v>0.7</v>
      </c>
      <c r="S114" s="188">
        <f t="shared" si="28"/>
        <v>0.68</v>
      </c>
      <c r="T114" s="188">
        <f t="shared" si="28"/>
        <v>0.66</v>
      </c>
      <c r="U114" s="188">
        <f t="shared" si="28"/>
        <v>0.64</v>
      </c>
      <c r="V114" s="188">
        <f t="shared" si="28"/>
        <v>0.63</v>
      </c>
      <c r="W114" s="188">
        <f t="shared" si="28"/>
        <v>0.61</v>
      </c>
      <c r="X114" s="188">
        <f t="shared" si="28"/>
        <v>0.59</v>
      </c>
      <c r="Y114" s="188">
        <f t="shared" si="28"/>
        <v>0.57999999999999996</v>
      </c>
      <c r="Z114" s="188">
        <f t="shared" si="28"/>
        <v>0.56999999999999995</v>
      </c>
    </row>
    <row r="115" spans="1:26">
      <c r="C115" s="188">
        <f>C62</f>
        <v>1.29</v>
      </c>
      <c r="D115" s="188">
        <f t="shared" ref="D115:Z115" si="29">D62</f>
        <v>1.22</v>
      </c>
      <c r="E115" s="188">
        <f t="shared" si="29"/>
        <v>1.1599999999999999</v>
      </c>
      <c r="F115" s="188">
        <f t="shared" si="29"/>
        <v>1.1000000000000001</v>
      </c>
      <c r="G115" s="188">
        <f t="shared" si="29"/>
        <v>1.05</v>
      </c>
      <c r="H115" s="188">
        <f t="shared" si="29"/>
        <v>1</v>
      </c>
      <c r="I115" s="188">
        <f t="shared" si="29"/>
        <v>0.96</v>
      </c>
      <c r="J115" s="188">
        <f t="shared" si="29"/>
        <v>0.92</v>
      </c>
      <c r="K115" s="188">
        <f t="shared" si="29"/>
        <v>0.89</v>
      </c>
      <c r="L115" s="188">
        <f t="shared" si="29"/>
        <v>0.85</v>
      </c>
      <c r="M115" s="188">
        <f t="shared" si="29"/>
        <v>0.82</v>
      </c>
      <c r="N115" s="188">
        <f t="shared" si="29"/>
        <v>0.8</v>
      </c>
      <c r="O115" s="188">
        <f t="shared" si="29"/>
        <v>0.77</v>
      </c>
      <c r="P115" s="188">
        <f t="shared" si="29"/>
        <v>0.74</v>
      </c>
      <c r="Q115" s="188">
        <f t="shared" si="29"/>
        <v>0.72</v>
      </c>
      <c r="R115" s="188">
        <f t="shared" si="29"/>
        <v>0.7</v>
      </c>
      <c r="S115" s="188">
        <f t="shared" si="29"/>
        <v>0.68</v>
      </c>
      <c r="T115" s="188">
        <f t="shared" si="29"/>
        <v>0.66</v>
      </c>
      <c r="U115" s="188">
        <f t="shared" si="29"/>
        <v>0.64</v>
      </c>
      <c r="V115" s="188">
        <f t="shared" si="29"/>
        <v>0.63</v>
      </c>
      <c r="W115" s="188">
        <f t="shared" si="29"/>
        <v>0.61</v>
      </c>
      <c r="X115" s="188">
        <f t="shared" si="29"/>
        <v>0.59</v>
      </c>
      <c r="Y115" s="188">
        <f t="shared" si="29"/>
        <v>0.57999999999999996</v>
      </c>
      <c r="Z115" s="188">
        <f t="shared" si="29"/>
        <v>0.56999999999999995</v>
      </c>
    </row>
    <row r="116" spans="1:26">
      <c r="A116" t="s">
        <v>786</v>
      </c>
      <c r="B116" t="s">
        <v>774</v>
      </c>
      <c r="C116" s="188">
        <f>C15</f>
        <v>0.98799999999999999</v>
      </c>
      <c r="D116" s="188">
        <f t="shared" ref="D116:Z116" si="30">D15</f>
        <v>0.99099999999999999</v>
      </c>
      <c r="E116" s="188">
        <f t="shared" si="30"/>
        <v>0.99399999999999999</v>
      </c>
      <c r="F116" s="188">
        <f t="shared" si="30"/>
        <v>0.996</v>
      </c>
      <c r="G116" s="188">
        <f t="shared" si="30"/>
        <v>0.999</v>
      </c>
      <c r="H116" s="188">
        <f t="shared" si="30"/>
        <v>1.002</v>
      </c>
      <c r="I116" s="188">
        <f t="shared" si="30"/>
        <v>1.0049999999999999</v>
      </c>
      <c r="J116" s="188">
        <f t="shared" si="30"/>
        <v>1.008</v>
      </c>
      <c r="K116" s="188">
        <f t="shared" si="30"/>
        <v>1.0109999999999999</v>
      </c>
      <c r="L116" s="188">
        <f t="shared" si="30"/>
        <v>1.014</v>
      </c>
      <c r="M116" s="188">
        <f t="shared" si="30"/>
        <v>1.0169999999999999</v>
      </c>
      <c r="N116" s="188">
        <f t="shared" si="30"/>
        <v>1.02</v>
      </c>
      <c r="O116" s="188">
        <f t="shared" si="30"/>
        <v>1.0229999999999999</v>
      </c>
      <c r="P116" s="188">
        <f t="shared" si="30"/>
        <v>1.026</v>
      </c>
      <c r="Q116" s="188">
        <f t="shared" si="30"/>
        <v>1.0289999999999999</v>
      </c>
      <c r="R116" s="188">
        <f t="shared" si="30"/>
        <v>1.032</v>
      </c>
      <c r="S116" s="188">
        <f t="shared" si="30"/>
        <v>1.0349999999999999</v>
      </c>
      <c r="T116" s="188">
        <f t="shared" si="30"/>
        <v>1.038</v>
      </c>
      <c r="U116" s="188">
        <f t="shared" si="30"/>
        <v>1.0409999999999999</v>
      </c>
      <c r="V116" s="188">
        <f t="shared" si="30"/>
        <v>1.0449999999999999</v>
      </c>
      <c r="W116" s="188">
        <f t="shared" si="30"/>
        <v>1.048</v>
      </c>
      <c r="X116" s="188">
        <f t="shared" si="30"/>
        <v>1.0509999999999999</v>
      </c>
      <c r="Y116" s="188">
        <f t="shared" si="30"/>
        <v>1.054</v>
      </c>
      <c r="Z116" s="188">
        <f t="shared" si="30"/>
        <v>1.0569999999999999</v>
      </c>
    </row>
    <row r="117" spans="1:26">
      <c r="C117" s="188">
        <f>C39</f>
        <v>0.98799999999999999</v>
      </c>
      <c r="D117" s="188">
        <f t="shared" ref="D117:Z117" si="31">D39</f>
        <v>0.99099999999999999</v>
      </c>
      <c r="E117" s="188">
        <f t="shared" si="31"/>
        <v>0.99399999999999999</v>
      </c>
      <c r="F117" s="188">
        <f t="shared" si="31"/>
        <v>0.996</v>
      </c>
      <c r="G117" s="188">
        <f t="shared" si="31"/>
        <v>0.999</v>
      </c>
      <c r="H117" s="188">
        <f t="shared" si="31"/>
        <v>1.002</v>
      </c>
      <c r="I117" s="188">
        <f t="shared" si="31"/>
        <v>1.0049999999999999</v>
      </c>
      <c r="J117" s="188">
        <f t="shared" si="31"/>
        <v>1.008</v>
      </c>
      <c r="K117" s="188">
        <f t="shared" si="31"/>
        <v>1.0109999999999999</v>
      </c>
      <c r="L117" s="188">
        <f t="shared" si="31"/>
        <v>1.014</v>
      </c>
      <c r="M117" s="188">
        <f t="shared" si="31"/>
        <v>1.0169999999999999</v>
      </c>
      <c r="N117" s="188">
        <f t="shared" si="31"/>
        <v>1.02</v>
      </c>
      <c r="O117" s="188">
        <f t="shared" si="31"/>
        <v>1.0229999999999999</v>
      </c>
      <c r="P117" s="188">
        <f t="shared" si="31"/>
        <v>1.026</v>
      </c>
      <c r="Q117" s="188">
        <f t="shared" si="31"/>
        <v>1.0289999999999999</v>
      </c>
      <c r="R117" s="188">
        <f t="shared" si="31"/>
        <v>1.032</v>
      </c>
      <c r="S117" s="188">
        <f t="shared" si="31"/>
        <v>1.0349999999999999</v>
      </c>
      <c r="T117" s="188">
        <f t="shared" si="31"/>
        <v>1.038</v>
      </c>
      <c r="U117" s="188">
        <f t="shared" si="31"/>
        <v>1.0409999999999999</v>
      </c>
      <c r="V117" s="188">
        <f t="shared" si="31"/>
        <v>1.0449999999999999</v>
      </c>
      <c r="W117" s="188">
        <f t="shared" si="31"/>
        <v>1.048</v>
      </c>
      <c r="X117" s="188">
        <f t="shared" si="31"/>
        <v>1.0509999999999999</v>
      </c>
      <c r="Y117" s="188">
        <f t="shared" si="31"/>
        <v>1.054</v>
      </c>
      <c r="Z117" s="188">
        <f t="shared" si="31"/>
        <v>1.0569999999999999</v>
      </c>
    </row>
    <row r="118" spans="1:26">
      <c r="C118" s="188">
        <f>C63</f>
        <v>0.98799999999999999</v>
      </c>
      <c r="D118" s="188">
        <f t="shared" ref="D118:Z118" si="32">D63</f>
        <v>0.99099999999999999</v>
      </c>
      <c r="E118" s="188">
        <f t="shared" si="32"/>
        <v>0.99399999999999999</v>
      </c>
      <c r="F118" s="188">
        <f t="shared" si="32"/>
        <v>0.996</v>
      </c>
      <c r="G118" s="188">
        <f t="shared" si="32"/>
        <v>0.999</v>
      </c>
      <c r="H118" s="188">
        <f t="shared" si="32"/>
        <v>1.002</v>
      </c>
      <c r="I118" s="188">
        <f t="shared" si="32"/>
        <v>1.0049999999999999</v>
      </c>
      <c r="J118" s="188">
        <f t="shared" si="32"/>
        <v>1.008</v>
      </c>
      <c r="K118" s="188">
        <f t="shared" si="32"/>
        <v>1.0109999999999999</v>
      </c>
      <c r="L118" s="188">
        <f t="shared" si="32"/>
        <v>1.014</v>
      </c>
      <c r="M118" s="188">
        <f t="shared" si="32"/>
        <v>1.0169999999999999</v>
      </c>
      <c r="N118" s="188">
        <f t="shared" si="32"/>
        <v>1.02</v>
      </c>
      <c r="O118" s="188">
        <f t="shared" si="32"/>
        <v>1.0229999999999999</v>
      </c>
      <c r="P118" s="188">
        <f t="shared" si="32"/>
        <v>1.026</v>
      </c>
      <c r="Q118" s="188">
        <f t="shared" si="32"/>
        <v>1.0289999999999999</v>
      </c>
      <c r="R118" s="188">
        <f t="shared" si="32"/>
        <v>1.032</v>
      </c>
      <c r="S118" s="188">
        <f t="shared" si="32"/>
        <v>1.0349999999999999</v>
      </c>
      <c r="T118" s="188">
        <f t="shared" si="32"/>
        <v>1.038</v>
      </c>
      <c r="U118" s="188">
        <f t="shared" si="32"/>
        <v>1.0409999999999999</v>
      </c>
      <c r="V118" s="188">
        <f t="shared" si="32"/>
        <v>1.0449999999999999</v>
      </c>
      <c r="W118" s="188">
        <f t="shared" si="32"/>
        <v>1.048</v>
      </c>
      <c r="X118" s="188">
        <f t="shared" si="32"/>
        <v>1.0509999999999999</v>
      </c>
      <c r="Y118" s="188">
        <f t="shared" si="32"/>
        <v>1.054</v>
      </c>
      <c r="Z118" s="188">
        <f t="shared" si="32"/>
        <v>1.0569999999999999</v>
      </c>
    </row>
    <row r="119" spans="1:26">
      <c r="A119" t="s">
        <v>787</v>
      </c>
      <c r="B119" t="s">
        <v>776</v>
      </c>
      <c r="C119" s="188">
        <f>C16</f>
        <v>1.7600000000000001E-2</v>
      </c>
      <c r="D119" s="188">
        <f t="shared" ref="D119:Z119" si="33">D16</f>
        <v>1.84E-2</v>
      </c>
      <c r="E119" s="188">
        <f t="shared" si="33"/>
        <v>1.9099999999999999E-2</v>
      </c>
      <c r="F119" s="188">
        <f t="shared" si="33"/>
        <v>1.9900000000000001E-2</v>
      </c>
      <c r="G119" s="188">
        <f t="shared" si="33"/>
        <v>2.06E-2</v>
      </c>
      <c r="H119" s="188">
        <f t="shared" si="33"/>
        <v>2.1299999999999999E-2</v>
      </c>
      <c r="I119" s="188">
        <f t="shared" si="33"/>
        <v>2.1899999999999999E-2</v>
      </c>
      <c r="J119" s="188">
        <f t="shared" si="33"/>
        <v>2.2599999999999999E-2</v>
      </c>
      <c r="K119" s="188">
        <f t="shared" si="33"/>
        <v>2.3199999999999998E-2</v>
      </c>
      <c r="L119" s="188">
        <f t="shared" si="33"/>
        <v>2.3900000000000001E-2</v>
      </c>
      <c r="M119" s="188">
        <f t="shared" si="33"/>
        <v>2.4500000000000001E-2</v>
      </c>
      <c r="N119" s="188">
        <f t="shared" si="33"/>
        <v>2.5100000000000001E-2</v>
      </c>
      <c r="O119" s="188">
        <f t="shared" si="33"/>
        <v>2.5700000000000001E-2</v>
      </c>
      <c r="P119" s="188">
        <f t="shared" si="33"/>
        <v>2.63E-2</v>
      </c>
      <c r="Q119" s="188">
        <f t="shared" si="33"/>
        <v>2.69E-2</v>
      </c>
      <c r="R119" s="188">
        <f t="shared" si="33"/>
        <v>2.75E-2</v>
      </c>
      <c r="S119" s="188">
        <f t="shared" si="33"/>
        <v>2.81E-2</v>
      </c>
      <c r="T119" s="188">
        <f t="shared" si="33"/>
        <v>2.87E-2</v>
      </c>
      <c r="U119" s="188">
        <f t="shared" si="33"/>
        <v>2.93E-2</v>
      </c>
      <c r="V119" s="188">
        <f t="shared" si="33"/>
        <v>2.9899999999999999E-2</v>
      </c>
      <c r="W119" s="188">
        <f t="shared" si="33"/>
        <v>3.0499999999999999E-2</v>
      </c>
      <c r="X119" s="188">
        <f t="shared" si="33"/>
        <v>3.1099999999999999E-2</v>
      </c>
      <c r="Y119" s="188">
        <f t="shared" si="33"/>
        <v>3.1600000000000003E-2</v>
      </c>
      <c r="Z119" s="188">
        <f t="shared" si="33"/>
        <v>3.2199999999999999E-2</v>
      </c>
    </row>
    <row r="120" spans="1:26">
      <c r="C120" s="188">
        <f>C40</f>
        <v>1.7600000000000001E-2</v>
      </c>
      <c r="D120" s="188">
        <f t="shared" ref="D120:Z120" si="34">D40</f>
        <v>1.84E-2</v>
      </c>
      <c r="E120" s="188">
        <f t="shared" si="34"/>
        <v>1.9099999999999999E-2</v>
      </c>
      <c r="F120" s="188">
        <f t="shared" si="34"/>
        <v>1.9900000000000001E-2</v>
      </c>
      <c r="G120" s="188">
        <f t="shared" si="34"/>
        <v>2.06E-2</v>
      </c>
      <c r="H120" s="188">
        <f t="shared" si="34"/>
        <v>2.1299999999999999E-2</v>
      </c>
      <c r="I120" s="188">
        <f t="shared" si="34"/>
        <v>2.1899999999999999E-2</v>
      </c>
      <c r="J120" s="188">
        <f t="shared" si="34"/>
        <v>2.2599999999999999E-2</v>
      </c>
      <c r="K120" s="188">
        <f t="shared" si="34"/>
        <v>2.3199999999999998E-2</v>
      </c>
      <c r="L120" s="188">
        <f t="shared" si="34"/>
        <v>2.3900000000000001E-2</v>
      </c>
      <c r="M120" s="188">
        <f t="shared" si="34"/>
        <v>2.4500000000000001E-2</v>
      </c>
      <c r="N120" s="188">
        <f t="shared" si="34"/>
        <v>2.5100000000000001E-2</v>
      </c>
      <c r="O120" s="188">
        <f t="shared" si="34"/>
        <v>2.5700000000000001E-2</v>
      </c>
      <c r="P120" s="188">
        <f t="shared" si="34"/>
        <v>2.63E-2</v>
      </c>
      <c r="Q120" s="188">
        <f t="shared" si="34"/>
        <v>2.69E-2</v>
      </c>
      <c r="R120" s="188">
        <f t="shared" si="34"/>
        <v>2.75E-2</v>
      </c>
      <c r="S120" s="188">
        <f t="shared" si="34"/>
        <v>2.81E-2</v>
      </c>
      <c r="T120" s="188">
        <f t="shared" si="34"/>
        <v>2.87E-2</v>
      </c>
      <c r="U120" s="188">
        <f t="shared" si="34"/>
        <v>2.93E-2</v>
      </c>
      <c r="V120" s="188">
        <f t="shared" si="34"/>
        <v>2.9899999999999999E-2</v>
      </c>
      <c r="W120" s="188">
        <f t="shared" si="34"/>
        <v>3.0499999999999999E-2</v>
      </c>
      <c r="X120" s="188">
        <f t="shared" si="34"/>
        <v>3.1099999999999999E-2</v>
      </c>
      <c r="Y120" s="188">
        <f t="shared" si="34"/>
        <v>3.1600000000000003E-2</v>
      </c>
      <c r="Z120" s="188">
        <f t="shared" si="34"/>
        <v>3.2199999999999999E-2</v>
      </c>
    </row>
    <row r="121" spans="1:26">
      <c r="C121" s="188">
        <f>C64</f>
        <v>1.7600000000000001E-2</v>
      </c>
      <c r="D121" s="188">
        <f t="shared" ref="D121:Z121" si="35">D64</f>
        <v>1.84E-2</v>
      </c>
      <c r="E121" s="188">
        <f t="shared" si="35"/>
        <v>1.9099999999999999E-2</v>
      </c>
      <c r="F121" s="188">
        <f t="shared" si="35"/>
        <v>1.9900000000000001E-2</v>
      </c>
      <c r="G121" s="188">
        <f t="shared" si="35"/>
        <v>2.06E-2</v>
      </c>
      <c r="H121" s="188">
        <f t="shared" si="35"/>
        <v>2.1299999999999999E-2</v>
      </c>
      <c r="I121" s="188">
        <f t="shared" si="35"/>
        <v>2.1899999999999999E-2</v>
      </c>
      <c r="J121" s="188">
        <f t="shared" si="35"/>
        <v>2.2599999999999999E-2</v>
      </c>
      <c r="K121" s="188">
        <f t="shared" si="35"/>
        <v>2.3199999999999998E-2</v>
      </c>
      <c r="L121" s="188">
        <f t="shared" si="35"/>
        <v>2.3900000000000001E-2</v>
      </c>
      <c r="M121" s="188">
        <f t="shared" si="35"/>
        <v>2.4500000000000001E-2</v>
      </c>
      <c r="N121" s="188">
        <f t="shared" si="35"/>
        <v>2.5100000000000001E-2</v>
      </c>
      <c r="O121" s="188">
        <f t="shared" si="35"/>
        <v>2.5700000000000001E-2</v>
      </c>
      <c r="P121" s="188">
        <f t="shared" si="35"/>
        <v>2.63E-2</v>
      </c>
      <c r="Q121" s="188">
        <f t="shared" si="35"/>
        <v>2.69E-2</v>
      </c>
      <c r="R121" s="188">
        <f t="shared" si="35"/>
        <v>2.75E-2</v>
      </c>
      <c r="S121" s="188">
        <f t="shared" si="35"/>
        <v>2.81E-2</v>
      </c>
      <c r="T121" s="188">
        <f t="shared" si="35"/>
        <v>2.87E-2</v>
      </c>
      <c r="U121" s="188">
        <f t="shared" si="35"/>
        <v>2.93E-2</v>
      </c>
      <c r="V121" s="188">
        <f t="shared" si="35"/>
        <v>2.9899999999999999E-2</v>
      </c>
      <c r="W121" s="188">
        <f t="shared" si="35"/>
        <v>3.0499999999999999E-2</v>
      </c>
      <c r="X121" s="188">
        <f t="shared" si="35"/>
        <v>3.1099999999999999E-2</v>
      </c>
      <c r="Y121" s="188">
        <f t="shared" si="35"/>
        <v>3.1600000000000003E-2</v>
      </c>
      <c r="Z121" s="188">
        <f t="shared" si="35"/>
        <v>3.2199999999999999E-2</v>
      </c>
    </row>
    <row r="122" spans="1:26">
      <c r="A122" t="s">
        <v>788</v>
      </c>
      <c r="B122" t="s">
        <v>778</v>
      </c>
      <c r="C122" s="188">
        <f>C17</f>
        <v>2.3E-2</v>
      </c>
      <c r="D122" s="188">
        <f t="shared" ref="D122:Z122" si="36">D17</f>
        <v>2.41E-2</v>
      </c>
      <c r="E122" s="188">
        <f t="shared" si="36"/>
        <v>2.5100000000000001E-2</v>
      </c>
      <c r="F122" s="188">
        <f t="shared" si="36"/>
        <v>2.6200000000000001E-2</v>
      </c>
      <c r="G122" s="188">
        <f t="shared" si="36"/>
        <v>2.7199999999999998E-2</v>
      </c>
      <c r="H122" s="188">
        <f t="shared" si="36"/>
        <v>2.8199999999999999E-2</v>
      </c>
      <c r="I122" s="188">
        <f t="shared" si="36"/>
        <v>2.92E-2</v>
      </c>
      <c r="J122" s="188">
        <f t="shared" si="36"/>
        <v>3.0200000000000001E-2</v>
      </c>
      <c r="K122" s="188">
        <f t="shared" si="36"/>
        <v>3.1199999999999999E-2</v>
      </c>
      <c r="L122" s="188">
        <f t="shared" si="36"/>
        <v>3.2099999999999997E-2</v>
      </c>
      <c r="M122" s="188">
        <f t="shared" si="36"/>
        <v>3.3000000000000002E-2</v>
      </c>
      <c r="N122" s="188">
        <f t="shared" si="36"/>
        <v>3.4000000000000002E-2</v>
      </c>
      <c r="O122" s="188">
        <f t="shared" si="36"/>
        <v>3.49E-2</v>
      </c>
      <c r="P122" s="188">
        <f t="shared" si="36"/>
        <v>3.5799999999999998E-2</v>
      </c>
      <c r="Q122" s="188">
        <f t="shared" si="36"/>
        <v>3.6700000000000003E-2</v>
      </c>
      <c r="R122" s="188">
        <f t="shared" si="36"/>
        <v>3.7600000000000001E-2</v>
      </c>
      <c r="S122" s="188">
        <f t="shared" si="36"/>
        <v>3.8399999999999997E-2</v>
      </c>
      <c r="T122" s="188">
        <f t="shared" si="36"/>
        <v>3.9300000000000002E-2</v>
      </c>
      <c r="U122" s="188">
        <f t="shared" si="36"/>
        <v>4.0099999999999997E-2</v>
      </c>
      <c r="V122" s="188">
        <f t="shared" si="36"/>
        <v>4.1000000000000002E-2</v>
      </c>
      <c r="W122" s="188">
        <f t="shared" si="36"/>
        <v>4.1799999999999997E-2</v>
      </c>
      <c r="X122" s="188">
        <f t="shared" si="36"/>
        <v>4.2700000000000002E-2</v>
      </c>
      <c r="Y122" s="188">
        <f t="shared" si="36"/>
        <v>4.3499999999999997E-2</v>
      </c>
      <c r="Z122" s="188">
        <f t="shared" si="36"/>
        <v>4.4299999999999999E-2</v>
      </c>
    </row>
    <row r="123" spans="1:26">
      <c r="C123" s="188">
        <f>C41</f>
        <v>2.3E-2</v>
      </c>
      <c r="D123" s="188">
        <f t="shared" ref="D123:Z123" si="37">D41</f>
        <v>2.41E-2</v>
      </c>
      <c r="E123" s="188">
        <f t="shared" si="37"/>
        <v>2.5100000000000001E-2</v>
      </c>
      <c r="F123" s="188">
        <f t="shared" si="37"/>
        <v>2.6200000000000001E-2</v>
      </c>
      <c r="G123" s="188">
        <f t="shared" si="37"/>
        <v>2.7199999999999998E-2</v>
      </c>
      <c r="H123" s="188">
        <f t="shared" si="37"/>
        <v>2.8199999999999999E-2</v>
      </c>
      <c r="I123" s="188">
        <f t="shared" si="37"/>
        <v>2.92E-2</v>
      </c>
      <c r="J123" s="188">
        <f t="shared" si="37"/>
        <v>3.0200000000000001E-2</v>
      </c>
      <c r="K123" s="188">
        <f t="shared" si="37"/>
        <v>3.1199999999999999E-2</v>
      </c>
      <c r="L123" s="188">
        <f t="shared" si="37"/>
        <v>3.2099999999999997E-2</v>
      </c>
      <c r="M123" s="188">
        <f t="shared" si="37"/>
        <v>3.3000000000000002E-2</v>
      </c>
      <c r="N123" s="188">
        <f t="shared" si="37"/>
        <v>3.4000000000000002E-2</v>
      </c>
      <c r="O123" s="188">
        <f t="shared" si="37"/>
        <v>3.49E-2</v>
      </c>
      <c r="P123" s="188">
        <f t="shared" si="37"/>
        <v>3.5799999999999998E-2</v>
      </c>
      <c r="Q123" s="188">
        <f t="shared" si="37"/>
        <v>3.6700000000000003E-2</v>
      </c>
      <c r="R123" s="188">
        <f t="shared" si="37"/>
        <v>3.7600000000000001E-2</v>
      </c>
      <c r="S123" s="188">
        <f t="shared" si="37"/>
        <v>3.8399999999999997E-2</v>
      </c>
      <c r="T123" s="188">
        <f t="shared" si="37"/>
        <v>3.9300000000000002E-2</v>
      </c>
      <c r="U123" s="188">
        <f t="shared" si="37"/>
        <v>4.0099999999999997E-2</v>
      </c>
      <c r="V123" s="188">
        <f t="shared" si="37"/>
        <v>4.1000000000000002E-2</v>
      </c>
      <c r="W123" s="188">
        <f t="shared" si="37"/>
        <v>4.1799999999999997E-2</v>
      </c>
      <c r="X123" s="188">
        <f t="shared" si="37"/>
        <v>4.2700000000000002E-2</v>
      </c>
      <c r="Y123" s="188">
        <f t="shared" si="37"/>
        <v>4.3499999999999997E-2</v>
      </c>
      <c r="Z123" s="188">
        <f t="shared" si="37"/>
        <v>4.4299999999999999E-2</v>
      </c>
    </row>
    <row r="124" spans="1:26">
      <c r="C124" s="188">
        <f>C65</f>
        <v>2.3E-2</v>
      </c>
      <c r="D124" s="188">
        <f t="shared" ref="D124:Z124" si="38">D65</f>
        <v>2.41E-2</v>
      </c>
      <c r="E124" s="188">
        <f t="shared" si="38"/>
        <v>2.5100000000000001E-2</v>
      </c>
      <c r="F124" s="188">
        <f t="shared" si="38"/>
        <v>2.6200000000000001E-2</v>
      </c>
      <c r="G124" s="188">
        <f t="shared" si="38"/>
        <v>2.7199999999999998E-2</v>
      </c>
      <c r="H124" s="188">
        <f t="shared" si="38"/>
        <v>2.8199999999999999E-2</v>
      </c>
      <c r="I124" s="188">
        <f t="shared" si="38"/>
        <v>2.92E-2</v>
      </c>
      <c r="J124" s="188">
        <f t="shared" si="38"/>
        <v>3.0200000000000001E-2</v>
      </c>
      <c r="K124" s="188">
        <f t="shared" si="38"/>
        <v>3.1199999999999999E-2</v>
      </c>
      <c r="L124" s="188">
        <f t="shared" si="38"/>
        <v>3.2099999999999997E-2</v>
      </c>
      <c r="M124" s="188">
        <f t="shared" si="38"/>
        <v>3.3000000000000002E-2</v>
      </c>
      <c r="N124" s="188">
        <f t="shared" si="38"/>
        <v>3.4000000000000002E-2</v>
      </c>
      <c r="O124" s="188">
        <f t="shared" si="38"/>
        <v>3.49E-2</v>
      </c>
      <c r="P124" s="188">
        <f t="shared" si="38"/>
        <v>3.5799999999999998E-2</v>
      </c>
      <c r="Q124" s="188">
        <f t="shared" si="38"/>
        <v>3.6700000000000003E-2</v>
      </c>
      <c r="R124" s="188">
        <f t="shared" si="38"/>
        <v>3.7600000000000001E-2</v>
      </c>
      <c r="S124" s="188">
        <f t="shared" si="38"/>
        <v>3.8399999999999997E-2</v>
      </c>
      <c r="T124" s="188">
        <f t="shared" si="38"/>
        <v>3.9300000000000002E-2</v>
      </c>
      <c r="U124" s="188">
        <f t="shared" si="38"/>
        <v>4.0099999999999997E-2</v>
      </c>
      <c r="V124" s="188">
        <f t="shared" si="38"/>
        <v>4.1000000000000002E-2</v>
      </c>
      <c r="W124" s="188">
        <f t="shared" si="38"/>
        <v>4.1799999999999997E-2</v>
      </c>
      <c r="X124" s="188">
        <f t="shared" si="38"/>
        <v>4.2700000000000002E-2</v>
      </c>
      <c r="Y124" s="188">
        <f t="shared" si="38"/>
        <v>4.3499999999999997E-2</v>
      </c>
      <c r="Z124" s="188">
        <f t="shared" si="38"/>
        <v>4.4299999999999999E-2</v>
      </c>
    </row>
    <row r="125" spans="1:26">
      <c r="A125" t="s">
        <v>789</v>
      </c>
      <c r="C125" s="188">
        <f>C18</f>
        <v>28.95</v>
      </c>
      <c r="D125" s="188">
        <f t="shared" ref="D125:Z125" si="39">D18</f>
        <v>28.95</v>
      </c>
      <c r="E125" s="188">
        <f t="shared" si="39"/>
        <v>28.95</v>
      </c>
      <c r="F125" s="188">
        <f t="shared" si="39"/>
        <v>28.95</v>
      </c>
      <c r="G125" s="188">
        <f t="shared" si="39"/>
        <v>28.95</v>
      </c>
      <c r="H125" s="188">
        <f t="shared" si="39"/>
        <v>28.95</v>
      </c>
      <c r="I125" s="188">
        <f t="shared" si="39"/>
        <v>28.95</v>
      </c>
      <c r="J125" s="188">
        <f t="shared" si="39"/>
        <v>28.95</v>
      </c>
      <c r="K125" s="188">
        <f t="shared" si="39"/>
        <v>28.95</v>
      </c>
      <c r="L125" s="188">
        <f t="shared" si="39"/>
        <v>28.95</v>
      </c>
      <c r="M125" s="188">
        <f t="shared" si="39"/>
        <v>28.95</v>
      </c>
      <c r="N125" s="188">
        <f t="shared" si="39"/>
        <v>28.95</v>
      </c>
      <c r="O125" s="188">
        <f t="shared" si="39"/>
        <v>28.95</v>
      </c>
      <c r="P125" s="188">
        <f t="shared" si="39"/>
        <v>28.95</v>
      </c>
      <c r="Q125" s="188">
        <f t="shared" si="39"/>
        <v>28.95</v>
      </c>
      <c r="R125" s="188">
        <f t="shared" si="39"/>
        <v>28.95</v>
      </c>
      <c r="S125" s="188">
        <f t="shared" si="39"/>
        <v>28.95</v>
      </c>
      <c r="T125" s="188">
        <f t="shared" si="39"/>
        <v>28.95</v>
      </c>
      <c r="U125" s="188">
        <f t="shared" si="39"/>
        <v>28.95</v>
      </c>
      <c r="V125" s="188">
        <f t="shared" si="39"/>
        <v>28.95</v>
      </c>
      <c r="W125" s="188">
        <f t="shared" si="39"/>
        <v>28.95</v>
      </c>
      <c r="X125" s="188">
        <f t="shared" si="39"/>
        <v>28.95</v>
      </c>
      <c r="Y125" s="188">
        <f t="shared" si="39"/>
        <v>28.95</v>
      </c>
      <c r="Z125" s="188">
        <f t="shared" si="39"/>
        <v>28.95</v>
      </c>
    </row>
    <row r="126" spans="1:26">
      <c r="C126" s="188">
        <f>C42</f>
        <v>28.95</v>
      </c>
      <c r="D126" s="188">
        <f t="shared" ref="D126:Z126" si="40">D42</f>
        <v>28.95</v>
      </c>
      <c r="E126" s="188">
        <f t="shared" si="40"/>
        <v>28.95</v>
      </c>
      <c r="F126" s="188">
        <f t="shared" si="40"/>
        <v>28.95</v>
      </c>
      <c r="G126" s="188">
        <f t="shared" si="40"/>
        <v>28.95</v>
      </c>
      <c r="H126" s="188">
        <f t="shared" si="40"/>
        <v>28.95</v>
      </c>
      <c r="I126" s="188">
        <f t="shared" si="40"/>
        <v>28.95</v>
      </c>
      <c r="J126" s="188">
        <f t="shared" si="40"/>
        <v>28.95</v>
      </c>
      <c r="K126" s="188">
        <f t="shared" si="40"/>
        <v>28.95</v>
      </c>
      <c r="L126" s="188">
        <f t="shared" si="40"/>
        <v>28.95</v>
      </c>
      <c r="M126" s="188">
        <f t="shared" si="40"/>
        <v>28.95</v>
      </c>
      <c r="N126" s="188">
        <f t="shared" si="40"/>
        <v>28.95</v>
      </c>
      <c r="O126" s="188">
        <f t="shared" si="40"/>
        <v>28.95</v>
      </c>
      <c r="P126" s="188">
        <f t="shared" si="40"/>
        <v>28.95</v>
      </c>
      <c r="Q126" s="188">
        <f t="shared" si="40"/>
        <v>28.95</v>
      </c>
      <c r="R126" s="188">
        <f t="shared" si="40"/>
        <v>28.95</v>
      </c>
      <c r="S126" s="188">
        <f t="shared" si="40"/>
        <v>28.95</v>
      </c>
      <c r="T126" s="188">
        <f t="shared" si="40"/>
        <v>28.95</v>
      </c>
      <c r="U126" s="188">
        <f t="shared" si="40"/>
        <v>28.95</v>
      </c>
      <c r="V126" s="188">
        <f t="shared" si="40"/>
        <v>28.95</v>
      </c>
      <c r="W126" s="188">
        <f t="shared" si="40"/>
        <v>28.95</v>
      </c>
      <c r="X126" s="188">
        <f t="shared" si="40"/>
        <v>28.95</v>
      </c>
      <c r="Y126" s="188">
        <f t="shared" si="40"/>
        <v>28.95</v>
      </c>
      <c r="Z126" s="188">
        <f t="shared" si="40"/>
        <v>28.95</v>
      </c>
    </row>
    <row r="127" spans="1:26">
      <c r="C127" s="188">
        <f>C66</f>
        <v>28.95</v>
      </c>
      <c r="D127" s="188">
        <f t="shared" ref="D127:Z127" si="41">D66</f>
        <v>28.95</v>
      </c>
      <c r="E127" s="188">
        <f t="shared" si="41"/>
        <v>28.95</v>
      </c>
      <c r="F127" s="188">
        <f t="shared" si="41"/>
        <v>28.95</v>
      </c>
      <c r="G127" s="188">
        <f t="shared" si="41"/>
        <v>28.95</v>
      </c>
      <c r="H127" s="188">
        <f t="shared" si="41"/>
        <v>28.95</v>
      </c>
      <c r="I127" s="188">
        <f t="shared" si="41"/>
        <v>28.95</v>
      </c>
      <c r="J127" s="188">
        <f t="shared" si="41"/>
        <v>28.95</v>
      </c>
      <c r="K127" s="188">
        <f t="shared" si="41"/>
        <v>28.95</v>
      </c>
      <c r="L127" s="188">
        <f t="shared" si="41"/>
        <v>28.95</v>
      </c>
      <c r="M127" s="188">
        <f t="shared" si="41"/>
        <v>28.95</v>
      </c>
      <c r="N127" s="188">
        <f t="shared" si="41"/>
        <v>28.95</v>
      </c>
      <c r="O127" s="188">
        <f t="shared" si="41"/>
        <v>28.95</v>
      </c>
      <c r="P127" s="188">
        <f t="shared" si="41"/>
        <v>28.95</v>
      </c>
      <c r="Q127" s="188">
        <f t="shared" si="41"/>
        <v>28.95</v>
      </c>
      <c r="R127" s="188">
        <f t="shared" si="41"/>
        <v>28.95</v>
      </c>
      <c r="S127" s="188">
        <f t="shared" si="41"/>
        <v>28.95</v>
      </c>
      <c r="T127" s="188">
        <f t="shared" si="41"/>
        <v>28.95</v>
      </c>
      <c r="U127" s="188">
        <f t="shared" si="41"/>
        <v>28.95</v>
      </c>
      <c r="V127" s="188">
        <f t="shared" si="41"/>
        <v>28.95</v>
      </c>
      <c r="W127" s="188">
        <f t="shared" si="41"/>
        <v>28.95</v>
      </c>
      <c r="X127" s="188">
        <f t="shared" si="41"/>
        <v>28.95</v>
      </c>
      <c r="Y127" s="188">
        <f t="shared" si="41"/>
        <v>28.95</v>
      </c>
      <c r="Z127" s="188">
        <f t="shared" si="41"/>
        <v>28.95</v>
      </c>
    </row>
    <row r="128" spans="1:26">
      <c r="A128" s="6" t="s">
        <v>790</v>
      </c>
      <c r="B128" s="6"/>
      <c r="C128" s="188">
        <f>C19</f>
        <v>0</v>
      </c>
      <c r="D128" s="188">
        <f t="shared" ref="D128:Z128" si="42">D19</f>
        <v>0</v>
      </c>
      <c r="E128" s="188">
        <f t="shared" si="42"/>
        <v>0</v>
      </c>
      <c r="F128" s="188">
        <f t="shared" si="42"/>
        <v>0</v>
      </c>
      <c r="G128" s="188">
        <f t="shared" si="42"/>
        <v>0</v>
      </c>
      <c r="H128" s="188">
        <f t="shared" si="42"/>
        <v>0</v>
      </c>
      <c r="I128" s="188">
        <f t="shared" si="42"/>
        <v>0</v>
      </c>
      <c r="J128" s="188">
        <f t="shared" si="42"/>
        <v>0</v>
      </c>
      <c r="K128" s="188">
        <f t="shared" si="42"/>
        <v>0</v>
      </c>
      <c r="L128" s="188">
        <f t="shared" si="42"/>
        <v>0</v>
      </c>
      <c r="M128" s="188">
        <f t="shared" si="42"/>
        <v>0</v>
      </c>
      <c r="N128" s="188">
        <f t="shared" si="42"/>
        <v>0</v>
      </c>
      <c r="O128" s="188">
        <f t="shared" si="42"/>
        <v>0</v>
      </c>
      <c r="P128" s="188">
        <f t="shared" si="42"/>
        <v>0</v>
      </c>
      <c r="Q128" s="188">
        <f t="shared" si="42"/>
        <v>0</v>
      </c>
      <c r="R128" s="188">
        <f t="shared" si="42"/>
        <v>0</v>
      </c>
      <c r="S128" s="188">
        <f t="shared" si="42"/>
        <v>0</v>
      </c>
      <c r="T128" s="188">
        <f t="shared" si="42"/>
        <v>0</v>
      </c>
      <c r="U128" s="188">
        <f t="shared" si="42"/>
        <v>0</v>
      </c>
      <c r="V128" s="188">
        <f t="shared" si="42"/>
        <v>0</v>
      </c>
      <c r="W128" s="188">
        <f t="shared" si="42"/>
        <v>0</v>
      </c>
      <c r="X128" s="188">
        <f t="shared" si="42"/>
        <v>0</v>
      </c>
      <c r="Y128" s="188">
        <f t="shared" si="42"/>
        <v>0</v>
      </c>
      <c r="Z128" s="188">
        <f t="shared" si="42"/>
        <v>0</v>
      </c>
    </row>
    <row r="129" spans="1:26">
      <c r="A129" s="6"/>
      <c r="B129" s="6"/>
      <c r="C129" s="188">
        <f>C43</f>
        <v>0</v>
      </c>
      <c r="D129" s="188">
        <f t="shared" ref="D129:Z129" si="43">D43</f>
        <v>0</v>
      </c>
      <c r="E129" s="188">
        <f t="shared" si="43"/>
        <v>0</v>
      </c>
      <c r="F129" s="188">
        <f t="shared" si="43"/>
        <v>0</v>
      </c>
      <c r="G129" s="188">
        <f t="shared" si="43"/>
        <v>0</v>
      </c>
      <c r="H129" s="188">
        <f t="shared" si="43"/>
        <v>0</v>
      </c>
      <c r="I129" s="188">
        <f t="shared" si="43"/>
        <v>0</v>
      </c>
      <c r="J129" s="188">
        <f t="shared" si="43"/>
        <v>0</v>
      </c>
      <c r="K129" s="188">
        <f t="shared" si="43"/>
        <v>0</v>
      </c>
      <c r="L129" s="188">
        <f t="shared" si="43"/>
        <v>0</v>
      </c>
      <c r="M129" s="188">
        <f t="shared" si="43"/>
        <v>0</v>
      </c>
      <c r="N129" s="188">
        <f t="shared" si="43"/>
        <v>0</v>
      </c>
      <c r="O129" s="188">
        <f t="shared" si="43"/>
        <v>0</v>
      </c>
      <c r="P129" s="188">
        <f t="shared" si="43"/>
        <v>0</v>
      </c>
      <c r="Q129" s="188">
        <f t="shared" si="43"/>
        <v>0</v>
      </c>
      <c r="R129" s="188">
        <f t="shared" si="43"/>
        <v>0</v>
      </c>
      <c r="S129" s="188">
        <f t="shared" si="43"/>
        <v>0</v>
      </c>
      <c r="T129" s="188">
        <f t="shared" si="43"/>
        <v>0</v>
      </c>
      <c r="U129" s="188">
        <f t="shared" si="43"/>
        <v>0</v>
      </c>
      <c r="V129" s="188">
        <f t="shared" si="43"/>
        <v>0</v>
      </c>
      <c r="W129" s="188">
        <f t="shared" si="43"/>
        <v>0</v>
      </c>
      <c r="X129" s="188">
        <f t="shared" si="43"/>
        <v>0</v>
      </c>
      <c r="Y129" s="188">
        <f t="shared" si="43"/>
        <v>0</v>
      </c>
      <c r="Z129" s="188">
        <f t="shared" si="43"/>
        <v>0</v>
      </c>
    </row>
    <row r="130" spans="1:26">
      <c r="A130" s="6"/>
      <c r="B130" s="6"/>
      <c r="C130" s="188">
        <f>C67</f>
        <v>0</v>
      </c>
      <c r="D130" s="188">
        <f t="shared" ref="D130:Z130" si="44">D67</f>
        <v>0</v>
      </c>
      <c r="E130" s="188">
        <f t="shared" si="44"/>
        <v>0</v>
      </c>
      <c r="F130" s="188">
        <f t="shared" si="44"/>
        <v>0</v>
      </c>
      <c r="G130" s="188">
        <f t="shared" si="44"/>
        <v>0</v>
      </c>
      <c r="H130" s="188">
        <f t="shared" si="44"/>
        <v>0</v>
      </c>
      <c r="I130" s="188">
        <f t="shared" si="44"/>
        <v>0</v>
      </c>
      <c r="J130" s="188">
        <f t="shared" si="44"/>
        <v>0</v>
      </c>
      <c r="K130" s="188">
        <f t="shared" si="44"/>
        <v>0</v>
      </c>
      <c r="L130" s="188">
        <f t="shared" si="44"/>
        <v>0</v>
      </c>
      <c r="M130" s="188">
        <f t="shared" si="44"/>
        <v>0</v>
      </c>
      <c r="N130" s="188">
        <f t="shared" si="44"/>
        <v>0</v>
      </c>
      <c r="O130" s="188">
        <f t="shared" si="44"/>
        <v>0</v>
      </c>
      <c r="P130" s="188">
        <f t="shared" si="44"/>
        <v>0</v>
      </c>
      <c r="Q130" s="188">
        <f t="shared" si="44"/>
        <v>0</v>
      </c>
      <c r="R130" s="188">
        <f t="shared" si="44"/>
        <v>0</v>
      </c>
      <c r="S130" s="188">
        <f t="shared" si="44"/>
        <v>0</v>
      </c>
      <c r="T130" s="188">
        <f t="shared" si="44"/>
        <v>0</v>
      </c>
      <c r="U130" s="188">
        <f t="shared" si="44"/>
        <v>0</v>
      </c>
      <c r="V130" s="188">
        <f t="shared" si="44"/>
        <v>0</v>
      </c>
      <c r="W130" s="188">
        <f t="shared" si="44"/>
        <v>0</v>
      </c>
      <c r="X130" s="188">
        <f t="shared" si="44"/>
        <v>0</v>
      </c>
      <c r="Y130" s="188">
        <f t="shared" si="44"/>
        <v>0</v>
      </c>
      <c r="Z130" s="188">
        <f t="shared" si="44"/>
        <v>0</v>
      </c>
    </row>
    <row r="131" spans="1:26">
      <c r="A131" t="s">
        <v>922</v>
      </c>
      <c r="B131" t="s">
        <v>102</v>
      </c>
      <c r="C131" s="188">
        <f>C20</f>
        <v>0</v>
      </c>
      <c r="D131" s="188">
        <f t="shared" ref="D131:Z131" si="45">D20</f>
        <v>0</v>
      </c>
      <c r="E131" s="188">
        <f t="shared" si="45"/>
        <v>0</v>
      </c>
      <c r="F131" s="188">
        <f t="shared" si="45"/>
        <v>0</v>
      </c>
      <c r="G131" s="188">
        <f t="shared" si="45"/>
        <v>0</v>
      </c>
      <c r="H131" s="188">
        <f t="shared" si="45"/>
        <v>0</v>
      </c>
      <c r="I131" s="188">
        <f t="shared" si="45"/>
        <v>0</v>
      </c>
      <c r="J131" s="188">
        <f t="shared" si="45"/>
        <v>0</v>
      </c>
      <c r="K131" s="188">
        <f t="shared" si="45"/>
        <v>0</v>
      </c>
      <c r="L131" s="188">
        <f t="shared" si="45"/>
        <v>0</v>
      </c>
      <c r="M131" s="188">
        <f t="shared" si="45"/>
        <v>0</v>
      </c>
      <c r="N131" s="188">
        <f t="shared" si="45"/>
        <v>0</v>
      </c>
      <c r="O131" s="188">
        <f t="shared" si="45"/>
        <v>0</v>
      </c>
      <c r="P131" s="188">
        <f t="shared" si="45"/>
        <v>0</v>
      </c>
      <c r="Q131" s="188">
        <f t="shared" si="45"/>
        <v>0</v>
      </c>
      <c r="R131" s="188">
        <f t="shared" si="45"/>
        <v>0</v>
      </c>
      <c r="S131" s="188">
        <f t="shared" si="45"/>
        <v>0</v>
      </c>
      <c r="T131" s="188">
        <f t="shared" si="45"/>
        <v>0</v>
      </c>
      <c r="U131" s="188">
        <f t="shared" si="45"/>
        <v>0</v>
      </c>
      <c r="V131" s="188">
        <f t="shared" si="45"/>
        <v>0</v>
      </c>
      <c r="W131" s="188">
        <f t="shared" si="45"/>
        <v>0</v>
      </c>
      <c r="X131" s="188">
        <f t="shared" si="45"/>
        <v>0</v>
      </c>
      <c r="Y131" s="188">
        <f t="shared" si="45"/>
        <v>0</v>
      </c>
      <c r="Z131" s="188">
        <f t="shared" si="45"/>
        <v>0</v>
      </c>
    </row>
    <row r="132" spans="1:26">
      <c r="C132" s="188">
        <f>C44</f>
        <v>0</v>
      </c>
      <c r="D132" s="188">
        <f t="shared" ref="D132:Z132" si="46">D44</f>
        <v>0</v>
      </c>
      <c r="E132" s="188">
        <f t="shared" si="46"/>
        <v>0</v>
      </c>
      <c r="F132" s="188">
        <f t="shared" si="46"/>
        <v>0</v>
      </c>
      <c r="G132" s="188">
        <f t="shared" si="46"/>
        <v>0</v>
      </c>
      <c r="H132" s="188">
        <f t="shared" si="46"/>
        <v>0</v>
      </c>
      <c r="I132" s="188">
        <f t="shared" si="46"/>
        <v>0</v>
      </c>
      <c r="J132" s="188">
        <f t="shared" si="46"/>
        <v>0</v>
      </c>
      <c r="K132" s="188">
        <f t="shared" si="46"/>
        <v>0</v>
      </c>
      <c r="L132" s="188">
        <f t="shared" si="46"/>
        <v>0</v>
      </c>
      <c r="M132" s="188">
        <f t="shared" si="46"/>
        <v>0</v>
      </c>
      <c r="N132" s="188">
        <f t="shared" si="46"/>
        <v>0</v>
      </c>
      <c r="O132" s="188">
        <f t="shared" si="46"/>
        <v>0</v>
      </c>
      <c r="P132" s="188">
        <f t="shared" si="46"/>
        <v>0</v>
      </c>
      <c r="Q132" s="188">
        <f t="shared" si="46"/>
        <v>0</v>
      </c>
      <c r="R132" s="188">
        <f t="shared" si="46"/>
        <v>0</v>
      </c>
      <c r="S132" s="188">
        <f t="shared" si="46"/>
        <v>0</v>
      </c>
      <c r="T132" s="188">
        <f t="shared" si="46"/>
        <v>0</v>
      </c>
      <c r="U132" s="188">
        <f t="shared" si="46"/>
        <v>0</v>
      </c>
      <c r="V132" s="188">
        <f t="shared" si="46"/>
        <v>0</v>
      </c>
      <c r="W132" s="188">
        <f t="shared" si="46"/>
        <v>0</v>
      </c>
      <c r="X132" s="188">
        <f t="shared" si="46"/>
        <v>0</v>
      </c>
      <c r="Y132" s="188">
        <f t="shared" si="46"/>
        <v>0</v>
      </c>
      <c r="Z132" s="188">
        <f t="shared" si="46"/>
        <v>0</v>
      </c>
    </row>
    <row r="133" spans="1:26">
      <c r="C133" s="188">
        <f>C68</f>
        <v>0</v>
      </c>
      <c r="D133" s="188">
        <f t="shared" ref="D133:Z133" si="47">D68</f>
        <v>0</v>
      </c>
      <c r="E133" s="188">
        <f t="shared" si="47"/>
        <v>0</v>
      </c>
      <c r="F133" s="188">
        <f t="shared" si="47"/>
        <v>0</v>
      </c>
      <c r="G133" s="188">
        <f t="shared" si="47"/>
        <v>0</v>
      </c>
      <c r="H133" s="188">
        <f t="shared" si="47"/>
        <v>0</v>
      </c>
      <c r="I133" s="188">
        <f t="shared" si="47"/>
        <v>0</v>
      </c>
      <c r="J133" s="188">
        <f t="shared" si="47"/>
        <v>0</v>
      </c>
      <c r="K133" s="188">
        <f t="shared" si="47"/>
        <v>0</v>
      </c>
      <c r="L133" s="188">
        <f t="shared" si="47"/>
        <v>0</v>
      </c>
      <c r="M133" s="188">
        <f t="shared" si="47"/>
        <v>0</v>
      </c>
      <c r="N133" s="188">
        <f t="shared" si="47"/>
        <v>0</v>
      </c>
      <c r="O133" s="188">
        <f t="shared" si="47"/>
        <v>0</v>
      </c>
      <c r="P133" s="188">
        <f t="shared" si="47"/>
        <v>0</v>
      </c>
      <c r="Q133" s="188">
        <f t="shared" si="47"/>
        <v>0</v>
      </c>
      <c r="R133" s="188">
        <f t="shared" si="47"/>
        <v>0</v>
      </c>
      <c r="S133" s="188">
        <f t="shared" si="47"/>
        <v>0</v>
      </c>
      <c r="T133" s="188">
        <f t="shared" si="47"/>
        <v>0</v>
      </c>
      <c r="U133" s="188">
        <f t="shared" si="47"/>
        <v>0</v>
      </c>
      <c r="V133" s="188">
        <f t="shared" si="47"/>
        <v>0</v>
      </c>
      <c r="W133" s="188">
        <f t="shared" si="47"/>
        <v>0</v>
      </c>
      <c r="X133" s="188">
        <f t="shared" si="47"/>
        <v>0</v>
      </c>
      <c r="Y133" s="188">
        <f t="shared" si="47"/>
        <v>0</v>
      </c>
      <c r="Z133" s="188">
        <f t="shared" si="47"/>
        <v>0</v>
      </c>
    </row>
    <row r="134" spans="1:26">
      <c r="A134" t="s">
        <v>791</v>
      </c>
      <c r="B134" t="s">
        <v>774</v>
      </c>
      <c r="C134" s="188">
        <f>C21</f>
        <v>0</v>
      </c>
      <c r="D134" s="188">
        <f t="shared" ref="D134:Z134" si="48">D21</f>
        <v>0</v>
      </c>
      <c r="E134" s="188">
        <f t="shared" si="48"/>
        <v>0</v>
      </c>
      <c r="F134" s="188">
        <f t="shared" si="48"/>
        <v>0</v>
      </c>
      <c r="G134" s="188">
        <f t="shared" si="48"/>
        <v>0</v>
      </c>
      <c r="H134" s="188">
        <f t="shared" si="48"/>
        <v>0</v>
      </c>
      <c r="I134" s="188">
        <f t="shared" si="48"/>
        <v>0</v>
      </c>
      <c r="J134" s="188">
        <f t="shared" si="48"/>
        <v>0</v>
      </c>
      <c r="K134" s="188">
        <f t="shared" si="48"/>
        <v>0</v>
      </c>
      <c r="L134" s="188">
        <f t="shared" si="48"/>
        <v>0</v>
      </c>
      <c r="M134" s="188">
        <f t="shared" si="48"/>
        <v>0</v>
      </c>
      <c r="N134" s="188">
        <f t="shared" si="48"/>
        <v>0</v>
      </c>
      <c r="O134" s="188">
        <f t="shared" si="48"/>
        <v>0</v>
      </c>
      <c r="P134" s="188">
        <f t="shared" si="48"/>
        <v>0</v>
      </c>
      <c r="Q134" s="188">
        <f t="shared" si="48"/>
        <v>0</v>
      </c>
      <c r="R134" s="188">
        <f t="shared" si="48"/>
        <v>0</v>
      </c>
      <c r="S134" s="188">
        <f t="shared" si="48"/>
        <v>0</v>
      </c>
      <c r="T134" s="188">
        <f t="shared" si="48"/>
        <v>0</v>
      </c>
      <c r="U134" s="188">
        <f t="shared" si="48"/>
        <v>0</v>
      </c>
      <c r="V134" s="188">
        <f t="shared" si="48"/>
        <v>0</v>
      </c>
      <c r="W134" s="188">
        <f t="shared" si="48"/>
        <v>0</v>
      </c>
      <c r="X134" s="188">
        <f t="shared" si="48"/>
        <v>0</v>
      </c>
      <c r="Y134" s="188">
        <f t="shared" si="48"/>
        <v>0</v>
      </c>
      <c r="Z134" s="188">
        <f t="shared" si="48"/>
        <v>0</v>
      </c>
    </row>
    <row r="135" spans="1:26">
      <c r="C135" s="188">
        <f>C45</f>
        <v>0</v>
      </c>
      <c r="D135" s="188">
        <f t="shared" ref="D135:Z135" si="49">D45</f>
        <v>0</v>
      </c>
      <c r="E135" s="188">
        <f t="shared" si="49"/>
        <v>0</v>
      </c>
      <c r="F135" s="188">
        <f t="shared" si="49"/>
        <v>0</v>
      </c>
      <c r="G135" s="188">
        <f t="shared" si="49"/>
        <v>0</v>
      </c>
      <c r="H135" s="188">
        <f t="shared" si="49"/>
        <v>0</v>
      </c>
      <c r="I135" s="188">
        <f t="shared" si="49"/>
        <v>0</v>
      </c>
      <c r="J135" s="188">
        <f t="shared" si="49"/>
        <v>0</v>
      </c>
      <c r="K135" s="188">
        <f t="shared" si="49"/>
        <v>0</v>
      </c>
      <c r="L135" s="188">
        <f t="shared" si="49"/>
        <v>0</v>
      </c>
      <c r="M135" s="188">
        <f t="shared" si="49"/>
        <v>0</v>
      </c>
      <c r="N135" s="188">
        <f t="shared" si="49"/>
        <v>0</v>
      </c>
      <c r="O135" s="188">
        <f t="shared" si="49"/>
        <v>0</v>
      </c>
      <c r="P135" s="188">
        <f t="shared" si="49"/>
        <v>0</v>
      </c>
      <c r="Q135" s="188">
        <f t="shared" si="49"/>
        <v>0</v>
      </c>
      <c r="R135" s="188">
        <f t="shared" si="49"/>
        <v>0</v>
      </c>
      <c r="S135" s="188">
        <f t="shared" si="49"/>
        <v>0</v>
      </c>
      <c r="T135" s="188">
        <f t="shared" si="49"/>
        <v>0</v>
      </c>
      <c r="U135" s="188">
        <f t="shared" si="49"/>
        <v>0</v>
      </c>
      <c r="V135" s="188">
        <f t="shared" si="49"/>
        <v>0</v>
      </c>
      <c r="W135" s="188">
        <f t="shared" si="49"/>
        <v>0</v>
      </c>
      <c r="X135" s="188">
        <f t="shared" si="49"/>
        <v>0</v>
      </c>
      <c r="Y135" s="188">
        <f t="shared" si="49"/>
        <v>0</v>
      </c>
      <c r="Z135" s="188">
        <f t="shared" si="49"/>
        <v>0</v>
      </c>
    </row>
    <row r="136" spans="1:26">
      <c r="C136" s="188">
        <f>C63</f>
        <v>0.98799999999999999</v>
      </c>
      <c r="D136" s="188">
        <f t="shared" ref="D136:Z136" si="50">D63</f>
        <v>0.99099999999999999</v>
      </c>
      <c r="E136" s="188">
        <f t="shared" si="50"/>
        <v>0.99399999999999999</v>
      </c>
      <c r="F136" s="188">
        <f t="shared" si="50"/>
        <v>0.996</v>
      </c>
      <c r="G136" s="188">
        <f t="shared" si="50"/>
        <v>0.999</v>
      </c>
      <c r="H136" s="188">
        <f t="shared" si="50"/>
        <v>1.002</v>
      </c>
      <c r="I136" s="188">
        <f t="shared" si="50"/>
        <v>1.0049999999999999</v>
      </c>
      <c r="J136" s="188">
        <f t="shared" si="50"/>
        <v>1.008</v>
      </c>
      <c r="K136" s="188">
        <f t="shared" si="50"/>
        <v>1.0109999999999999</v>
      </c>
      <c r="L136" s="188">
        <f t="shared" si="50"/>
        <v>1.014</v>
      </c>
      <c r="M136" s="188">
        <f t="shared" si="50"/>
        <v>1.0169999999999999</v>
      </c>
      <c r="N136" s="188">
        <f t="shared" si="50"/>
        <v>1.02</v>
      </c>
      <c r="O136" s="188">
        <f t="shared" si="50"/>
        <v>1.0229999999999999</v>
      </c>
      <c r="P136" s="188">
        <f t="shared" si="50"/>
        <v>1.026</v>
      </c>
      <c r="Q136" s="188">
        <f t="shared" si="50"/>
        <v>1.0289999999999999</v>
      </c>
      <c r="R136" s="188">
        <f t="shared" si="50"/>
        <v>1.032</v>
      </c>
      <c r="S136" s="188">
        <f t="shared" si="50"/>
        <v>1.0349999999999999</v>
      </c>
      <c r="T136" s="188">
        <f t="shared" si="50"/>
        <v>1.038</v>
      </c>
      <c r="U136" s="188">
        <f t="shared" si="50"/>
        <v>1.0409999999999999</v>
      </c>
      <c r="V136" s="188">
        <f t="shared" si="50"/>
        <v>1.0449999999999999</v>
      </c>
      <c r="W136" s="188">
        <f t="shared" si="50"/>
        <v>1.048</v>
      </c>
      <c r="X136" s="188">
        <f t="shared" si="50"/>
        <v>1.0509999999999999</v>
      </c>
      <c r="Y136" s="188">
        <f t="shared" si="50"/>
        <v>1.054</v>
      </c>
      <c r="Z136" s="188">
        <f t="shared" si="50"/>
        <v>1.0569999999999999</v>
      </c>
    </row>
    <row r="137" spans="1:26">
      <c r="A137" t="s">
        <v>792</v>
      </c>
      <c r="B137" t="s">
        <v>776</v>
      </c>
      <c r="C137" s="188">
        <f>C22</f>
        <v>0</v>
      </c>
      <c r="D137" s="188">
        <f t="shared" ref="D137:Z137" si="51">D22</f>
        <v>0</v>
      </c>
      <c r="E137" s="188">
        <f t="shared" si="51"/>
        <v>0</v>
      </c>
      <c r="F137" s="188">
        <f t="shared" si="51"/>
        <v>0</v>
      </c>
      <c r="G137" s="188">
        <f t="shared" si="51"/>
        <v>0</v>
      </c>
      <c r="H137" s="188">
        <f t="shared" si="51"/>
        <v>0</v>
      </c>
      <c r="I137" s="188">
        <f t="shared" si="51"/>
        <v>0</v>
      </c>
      <c r="J137" s="188">
        <f t="shared" si="51"/>
        <v>0</v>
      </c>
      <c r="K137" s="188">
        <f t="shared" si="51"/>
        <v>0</v>
      </c>
      <c r="L137" s="188">
        <f t="shared" si="51"/>
        <v>0</v>
      </c>
      <c r="M137" s="188">
        <f t="shared" si="51"/>
        <v>0</v>
      </c>
      <c r="N137" s="188">
        <f t="shared" si="51"/>
        <v>0</v>
      </c>
      <c r="O137" s="188">
        <f t="shared" si="51"/>
        <v>0</v>
      </c>
      <c r="P137" s="188">
        <f t="shared" si="51"/>
        <v>0</v>
      </c>
      <c r="Q137" s="188">
        <f t="shared" si="51"/>
        <v>0</v>
      </c>
      <c r="R137" s="188">
        <f t="shared" si="51"/>
        <v>0</v>
      </c>
      <c r="S137" s="188">
        <f t="shared" si="51"/>
        <v>0</v>
      </c>
      <c r="T137" s="188">
        <f t="shared" si="51"/>
        <v>0</v>
      </c>
      <c r="U137" s="188">
        <f t="shared" si="51"/>
        <v>0</v>
      </c>
      <c r="V137" s="188">
        <f t="shared" si="51"/>
        <v>0</v>
      </c>
      <c r="W137" s="188">
        <f t="shared" si="51"/>
        <v>0</v>
      </c>
      <c r="X137" s="188">
        <f t="shared" si="51"/>
        <v>0</v>
      </c>
      <c r="Y137" s="188">
        <f t="shared" si="51"/>
        <v>0</v>
      </c>
      <c r="Z137" s="188">
        <f t="shared" si="51"/>
        <v>0</v>
      </c>
    </row>
    <row r="138" spans="1:26">
      <c r="C138" s="188">
        <f>C46</f>
        <v>0</v>
      </c>
      <c r="D138" s="188">
        <f t="shared" ref="D138:Z138" si="52">D46</f>
        <v>0</v>
      </c>
      <c r="E138" s="188">
        <f t="shared" si="52"/>
        <v>0</v>
      </c>
      <c r="F138" s="188">
        <f t="shared" si="52"/>
        <v>0</v>
      </c>
      <c r="G138" s="188">
        <f t="shared" si="52"/>
        <v>0</v>
      </c>
      <c r="H138" s="188">
        <f t="shared" si="52"/>
        <v>0</v>
      </c>
      <c r="I138" s="188">
        <f t="shared" si="52"/>
        <v>0</v>
      </c>
      <c r="J138" s="188">
        <f t="shared" si="52"/>
        <v>0</v>
      </c>
      <c r="K138" s="188">
        <f t="shared" si="52"/>
        <v>0</v>
      </c>
      <c r="L138" s="188">
        <f t="shared" si="52"/>
        <v>0</v>
      </c>
      <c r="M138" s="188">
        <f t="shared" si="52"/>
        <v>0</v>
      </c>
      <c r="N138" s="188">
        <f t="shared" si="52"/>
        <v>0</v>
      </c>
      <c r="O138" s="188">
        <f t="shared" si="52"/>
        <v>0</v>
      </c>
      <c r="P138" s="188">
        <f t="shared" si="52"/>
        <v>0</v>
      </c>
      <c r="Q138" s="188">
        <f t="shared" si="52"/>
        <v>0</v>
      </c>
      <c r="R138" s="188">
        <f t="shared" si="52"/>
        <v>0</v>
      </c>
      <c r="S138" s="188">
        <f t="shared" si="52"/>
        <v>0</v>
      </c>
      <c r="T138" s="188">
        <f t="shared" si="52"/>
        <v>0</v>
      </c>
      <c r="U138" s="188">
        <f t="shared" si="52"/>
        <v>0</v>
      </c>
      <c r="V138" s="188">
        <f t="shared" si="52"/>
        <v>0</v>
      </c>
      <c r="W138" s="188">
        <f t="shared" si="52"/>
        <v>0</v>
      </c>
      <c r="X138" s="188">
        <f t="shared" si="52"/>
        <v>0</v>
      </c>
      <c r="Y138" s="188">
        <f t="shared" si="52"/>
        <v>0</v>
      </c>
      <c r="Z138" s="188">
        <f t="shared" si="52"/>
        <v>0</v>
      </c>
    </row>
    <row r="139" spans="1:26">
      <c r="C139" s="188">
        <f>C70</f>
        <v>0</v>
      </c>
      <c r="D139" s="188">
        <f t="shared" ref="D139:Z139" si="53">D70</f>
        <v>0</v>
      </c>
      <c r="E139" s="188">
        <f t="shared" si="53"/>
        <v>0</v>
      </c>
      <c r="F139" s="188">
        <f t="shared" si="53"/>
        <v>0</v>
      </c>
      <c r="G139" s="188">
        <f t="shared" si="53"/>
        <v>0</v>
      </c>
      <c r="H139" s="188">
        <f t="shared" si="53"/>
        <v>0</v>
      </c>
      <c r="I139" s="188">
        <f t="shared" si="53"/>
        <v>0</v>
      </c>
      <c r="J139" s="188">
        <f t="shared" si="53"/>
        <v>0</v>
      </c>
      <c r="K139" s="188">
        <f t="shared" si="53"/>
        <v>0</v>
      </c>
      <c r="L139" s="188">
        <f t="shared" si="53"/>
        <v>0</v>
      </c>
      <c r="M139" s="188">
        <f t="shared" si="53"/>
        <v>0</v>
      </c>
      <c r="N139" s="188">
        <f t="shared" si="53"/>
        <v>0</v>
      </c>
      <c r="O139" s="188">
        <f t="shared" si="53"/>
        <v>0</v>
      </c>
      <c r="P139" s="188">
        <f t="shared" si="53"/>
        <v>0</v>
      </c>
      <c r="Q139" s="188">
        <f t="shared" si="53"/>
        <v>0</v>
      </c>
      <c r="R139" s="188">
        <f t="shared" si="53"/>
        <v>0</v>
      </c>
      <c r="S139" s="188">
        <f t="shared" si="53"/>
        <v>0</v>
      </c>
      <c r="T139" s="188">
        <f t="shared" si="53"/>
        <v>0</v>
      </c>
      <c r="U139" s="188">
        <f t="shared" si="53"/>
        <v>0</v>
      </c>
      <c r="V139" s="188">
        <f t="shared" si="53"/>
        <v>0</v>
      </c>
      <c r="W139" s="188">
        <f t="shared" si="53"/>
        <v>0</v>
      </c>
      <c r="X139" s="188">
        <f t="shared" si="53"/>
        <v>0</v>
      </c>
      <c r="Y139" s="188">
        <f t="shared" si="53"/>
        <v>0</v>
      </c>
      <c r="Z139" s="188">
        <f t="shared" si="53"/>
        <v>0</v>
      </c>
    </row>
    <row r="140" spans="1:26">
      <c r="A140" t="s">
        <v>793</v>
      </c>
      <c r="B140" t="s">
        <v>778</v>
      </c>
      <c r="C140" s="188">
        <f>C23</f>
        <v>0</v>
      </c>
      <c r="D140" s="188">
        <f t="shared" ref="D140:Z140" si="54">D23</f>
        <v>0</v>
      </c>
      <c r="E140" s="188">
        <f t="shared" si="54"/>
        <v>0</v>
      </c>
      <c r="F140" s="188">
        <f t="shared" si="54"/>
        <v>0</v>
      </c>
      <c r="G140" s="188">
        <f t="shared" si="54"/>
        <v>0</v>
      </c>
      <c r="H140" s="188">
        <f t="shared" si="54"/>
        <v>0</v>
      </c>
      <c r="I140" s="188">
        <f t="shared" si="54"/>
        <v>0</v>
      </c>
      <c r="J140" s="188">
        <f t="shared" si="54"/>
        <v>0</v>
      </c>
      <c r="K140" s="188">
        <f t="shared" si="54"/>
        <v>0</v>
      </c>
      <c r="L140" s="188">
        <f t="shared" si="54"/>
        <v>0</v>
      </c>
      <c r="M140" s="188">
        <f t="shared" si="54"/>
        <v>0</v>
      </c>
      <c r="N140" s="188">
        <f t="shared" si="54"/>
        <v>0</v>
      </c>
      <c r="O140" s="188">
        <f t="shared" si="54"/>
        <v>0</v>
      </c>
      <c r="P140" s="188">
        <f t="shared" si="54"/>
        <v>0</v>
      </c>
      <c r="Q140" s="188">
        <f t="shared" si="54"/>
        <v>0</v>
      </c>
      <c r="R140" s="188">
        <f t="shared" si="54"/>
        <v>0</v>
      </c>
      <c r="S140" s="188">
        <f t="shared" si="54"/>
        <v>0</v>
      </c>
      <c r="T140" s="188">
        <f t="shared" si="54"/>
        <v>0</v>
      </c>
      <c r="U140" s="188">
        <f t="shared" si="54"/>
        <v>0</v>
      </c>
      <c r="V140" s="188">
        <f t="shared" si="54"/>
        <v>0</v>
      </c>
      <c r="W140" s="188">
        <f t="shared" si="54"/>
        <v>0</v>
      </c>
      <c r="X140" s="188">
        <f t="shared" si="54"/>
        <v>0</v>
      </c>
      <c r="Y140" s="188">
        <f t="shared" si="54"/>
        <v>0</v>
      </c>
      <c r="Z140" s="188">
        <f t="shared" si="54"/>
        <v>0</v>
      </c>
    </row>
    <row r="141" spans="1:26">
      <c r="C141" s="188">
        <f>C47</f>
        <v>0</v>
      </c>
      <c r="D141" s="188">
        <f t="shared" ref="D141:Z141" si="55">D47</f>
        <v>0</v>
      </c>
      <c r="E141" s="188">
        <f t="shared" si="55"/>
        <v>0</v>
      </c>
      <c r="F141" s="188">
        <f t="shared" si="55"/>
        <v>0</v>
      </c>
      <c r="G141" s="188">
        <f t="shared" si="55"/>
        <v>0</v>
      </c>
      <c r="H141" s="188">
        <f t="shared" si="55"/>
        <v>0</v>
      </c>
      <c r="I141" s="188">
        <f t="shared" si="55"/>
        <v>0</v>
      </c>
      <c r="J141" s="188">
        <f t="shared" si="55"/>
        <v>0</v>
      </c>
      <c r="K141" s="188">
        <f t="shared" si="55"/>
        <v>0</v>
      </c>
      <c r="L141" s="188">
        <f t="shared" si="55"/>
        <v>0</v>
      </c>
      <c r="M141" s="188">
        <f t="shared" si="55"/>
        <v>0</v>
      </c>
      <c r="N141" s="188">
        <f t="shared" si="55"/>
        <v>0</v>
      </c>
      <c r="O141" s="188">
        <f t="shared" si="55"/>
        <v>0</v>
      </c>
      <c r="P141" s="188">
        <f t="shared" si="55"/>
        <v>0</v>
      </c>
      <c r="Q141" s="188">
        <f t="shared" si="55"/>
        <v>0</v>
      </c>
      <c r="R141" s="188">
        <f t="shared" si="55"/>
        <v>0</v>
      </c>
      <c r="S141" s="188">
        <f t="shared" si="55"/>
        <v>0</v>
      </c>
      <c r="T141" s="188">
        <f t="shared" si="55"/>
        <v>0</v>
      </c>
      <c r="U141" s="188">
        <f t="shared" si="55"/>
        <v>0</v>
      </c>
      <c r="V141" s="188">
        <f t="shared" si="55"/>
        <v>0</v>
      </c>
      <c r="W141" s="188">
        <f t="shared" si="55"/>
        <v>0</v>
      </c>
      <c r="X141" s="188">
        <f t="shared" si="55"/>
        <v>0</v>
      </c>
      <c r="Y141" s="188">
        <f t="shared" si="55"/>
        <v>0</v>
      </c>
      <c r="Z141" s="188">
        <f t="shared" si="55"/>
        <v>0</v>
      </c>
    </row>
    <row r="142" spans="1:26">
      <c r="C142" s="188">
        <f>C71</f>
        <v>0</v>
      </c>
      <c r="D142" s="188">
        <f t="shared" ref="D142:Z142" si="56">D71</f>
        <v>0</v>
      </c>
      <c r="E142" s="188">
        <f t="shared" si="56"/>
        <v>0</v>
      </c>
      <c r="F142" s="188">
        <f t="shared" si="56"/>
        <v>0</v>
      </c>
      <c r="G142" s="188">
        <f t="shared" si="56"/>
        <v>0</v>
      </c>
      <c r="H142" s="188">
        <f t="shared" si="56"/>
        <v>0</v>
      </c>
      <c r="I142" s="188">
        <f t="shared" si="56"/>
        <v>0</v>
      </c>
      <c r="J142" s="188">
        <f t="shared" si="56"/>
        <v>0</v>
      </c>
      <c r="K142" s="188">
        <f t="shared" si="56"/>
        <v>0</v>
      </c>
      <c r="L142" s="188">
        <f t="shared" si="56"/>
        <v>0</v>
      </c>
      <c r="M142" s="188">
        <f t="shared" si="56"/>
        <v>0</v>
      </c>
      <c r="N142" s="188">
        <f t="shared" si="56"/>
        <v>0</v>
      </c>
      <c r="O142" s="188">
        <f t="shared" si="56"/>
        <v>0</v>
      </c>
      <c r="P142" s="188">
        <f t="shared" si="56"/>
        <v>0</v>
      </c>
      <c r="Q142" s="188">
        <f t="shared" si="56"/>
        <v>0</v>
      </c>
      <c r="R142" s="188">
        <f t="shared" si="56"/>
        <v>0</v>
      </c>
      <c r="S142" s="188">
        <f t="shared" si="56"/>
        <v>0</v>
      </c>
      <c r="T142" s="188">
        <f t="shared" si="56"/>
        <v>0</v>
      </c>
      <c r="U142" s="188">
        <f t="shared" si="56"/>
        <v>0</v>
      </c>
      <c r="V142" s="188">
        <f t="shared" si="56"/>
        <v>0</v>
      </c>
      <c r="W142" s="188">
        <f t="shared" si="56"/>
        <v>0</v>
      </c>
      <c r="X142" s="188">
        <f t="shared" si="56"/>
        <v>0</v>
      </c>
      <c r="Y142" s="188">
        <f t="shared" si="56"/>
        <v>0</v>
      </c>
      <c r="Z142" s="188">
        <f t="shared" si="56"/>
        <v>0</v>
      </c>
    </row>
    <row r="143" spans="1:26">
      <c r="A143" t="s">
        <v>794</v>
      </c>
      <c r="B143" t="s">
        <v>780</v>
      </c>
      <c r="C143" s="188">
        <f>C48</f>
        <v>0</v>
      </c>
      <c r="D143" s="188">
        <f t="shared" ref="D143:Z143" si="57">D48</f>
        <v>0</v>
      </c>
      <c r="E143" s="188">
        <f t="shared" si="57"/>
        <v>0</v>
      </c>
      <c r="F143" s="188">
        <f t="shared" si="57"/>
        <v>0</v>
      </c>
      <c r="G143" s="188">
        <f t="shared" si="57"/>
        <v>0</v>
      </c>
      <c r="H143" s="188">
        <f t="shared" si="57"/>
        <v>0</v>
      </c>
      <c r="I143" s="188">
        <f t="shared" si="57"/>
        <v>0</v>
      </c>
      <c r="J143" s="188">
        <f t="shared" si="57"/>
        <v>0</v>
      </c>
      <c r="K143" s="188">
        <f t="shared" si="57"/>
        <v>0</v>
      </c>
      <c r="L143" s="188">
        <f t="shared" si="57"/>
        <v>0</v>
      </c>
      <c r="M143" s="188">
        <f t="shared" si="57"/>
        <v>0</v>
      </c>
      <c r="N143" s="188">
        <f t="shared" si="57"/>
        <v>0</v>
      </c>
      <c r="O143" s="188">
        <f t="shared" si="57"/>
        <v>0</v>
      </c>
      <c r="P143" s="188">
        <f t="shared" si="57"/>
        <v>0</v>
      </c>
      <c r="Q143" s="188">
        <f t="shared" si="57"/>
        <v>0</v>
      </c>
      <c r="R143" s="188">
        <f t="shared" si="57"/>
        <v>0</v>
      </c>
      <c r="S143" s="188">
        <f t="shared" si="57"/>
        <v>0</v>
      </c>
      <c r="T143" s="188">
        <f t="shared" si="57"/>
        <v>0</v>
      </c>
      <c r="U143" s="188">
        <f t="shared" si="57"/>
        <v>0</v>
      </c>
      <c r="V143" s="188">
        <f t="shared" si="57"/>
        <v>0</v>
      </c>
      <c r="W143" s="188">
        <f t="shared" si="57"/>
        <v>0</v>
      </c>
      <c r="X143" s="188">
        <f t="shared" si="57"/>
        <v>0</v>
      </c>
      <c r="Y143" s="188">
        <f t="shared" si="57"/>
        <v>0</v>
      </c>
      <c r="Z143" s="188">
        <f t="shared" si="57"/>
        <v>0</v>
      </c>
    </row>
    <row r="144" spans="1:26">
      <c r="C144" s="188">
        <f>C48</f>
        <v>0</v>
      </c>
      <c r="D144" s="188">
        <f t="shared" ref="D144:Z144" si="58">D48</f>
        <v>0</v>
      </c>
      <c r="E144" s="188">
        <f t="shared" si="58"/>
        <v>0</v>
      </c>
      <c r="F144" s="188">
        <f t="shared" si="58"/>
        <v>0</v>
      </c>
      <c r="G144" s="188">
        <f t="shared" si="58"/>
        <v>0</v>
      </c>
      <c r="H144" s="188">
        <f t="shared" si="58"/>
        <v>0</v>
      </c>
      <c r="I144" s="188">
        <f t="shared" si="58"/>
        <v>0</v>
      </c>
      <c r="J144" s="188">
        <f t="shared" si="58"/>
        <v>0</v>
      </c>
      <c r="K144" s="188">
        <f t="shared" si="58"/>
        <v>0</v>
      </c>
      <c r="L144" s="188">
        <f t="shared" si="58"/>
        <v>0</v>
      </c>
      <c r="M144" s="188">
        <f t="shared" si="58"/>
        <v>0</v>
      </c>
      <c r="N144" s="188">
        <f t="shared" si="58"/>
        <v>0</v>
      </c>
      <c r="O144" s="188">
        <f t="shared" si="58"/>
        <v>0</v>
      </c>
      <c r="P144" s="188">
        <f t="shared" si="58"/>
        <v>0</v>
      </c>
      <c r="Q144" s="188">
        <f t="shared" si="58"/>
        <v>0</v>
      </c>
      <c r="R144" s="188">
        <f t="shared" si="58"/>
        <v>0</v>
      </c>
      <c r="S144" s="188">
        <f t="shared" si="58"/>
        <v>0</v>
      </c>
      <c r="T144" s="188">
        <f t="shared" si="58"/>
        <v>0</v>
      </c>
      <c r="U144" s="188">
        <f t="shared" si="58"/>
        <v>0</v>
      </c>
      <c r="V144" s="188">
        <f t="shared" si="58"/>
        <v>0</v>
      </c>
      <c r="W144" s="188">
        <f t="shared" si="58"/>
        <v>0</v>
      </c>
      <c r="X144" s="188">
        <f t="shared" si="58"/>
        <v>0</v>
      </c>
      <c r="Y144" s="188">
        <f t="shared" si="58"/>
        <v>0</v>
      </c>
      <c r="Z144" s="188">
        <f t="shared" si="58"/>
        <v>0</v>
      </c>
    </row>
    <row r="145" spans="1:26">
      <c r="C145" s="188">
        <f>C72</f>
        <v>0</v>
      </c>
      <c r="D145" s="188">
        <f t="shared" ref="D145:Z145" si="59">D72</f>
        <v>0</v>
      </c>
      <c r="E145" s="188">
        <f t="shared" si="59"/>
        <v>0</v>
      </c>
      <c r="F145" s="188">
        <f t="shared" si="59"/>
        <v>0</v>
      </c>
      <c r="G145" s="188">
        <f t="shared" si="59"/>
        <v>0</v>
      </c>
      <c r="H145" s="188">
        <f t="shared" si="59"/>
        <v>0</v>
      </c>
      <c r="I145" s="188">
        <f t="shared" si="59"/>
        <v>0</v>
      </c>
      <c r="J145" s="188">
        <f t="shared" si="59"/>
        <v>0</v>
      </c>
      <c r="K145" s="188">
        <f t="shared" si="59"/>
        <v>0</v>
      </c>
      <c r="L145" s="188">
        <f t="shared" si="59"/>
        <v>0</v>
      </c>
      <c r="M145" s="188">
        <f t="shared" si="59"/>
        <v>0</v>
      </c>
      <c r="N145" s="188">
        <f t="shared" si="59"/>
        <v>0</v>
      </c>
      <c r="O145" s="188">
        <f t="shared" si="59"/>
        <v>0</v>
      </c>
      <c r="P145" s="188">
        <f t="shared" si="59"/>
        <v>0</v>
      </c>
      <c r="Q145" s="188">
        <f t="shared" si="59"/>
        <v>0</v>
      </c>
      <c r="R145" s="188">
        <f t="shared" si="59"/>
        <v>0</v>
      </c>
      <c r="S145" s="188">
        <f t="shared" si="59"/>
        <v>0</v>
      </c>
      <c r="T145" s="188">
        <f t="shared" si="59"/>
        <v>0</v>
      </c>
      <c r="U145" s="188">
        <f t="shared" si="59"/>
        <v>0</v>
      </c>
      <c r="V145" s="188">
        <f t="shared" si="59"/>
        <v>0</v>
      </c>
      <c r="W145" s="188">
        <f t="shared" si="59"/>
        <v>0</v>
      </c>
      <c r="X145" s="188">
        <f t="shared" si="59"/>
        <v>0</v>
      </c>
      <c r="Y145" s="188">
        <f t="shared" si="59"/>
        <v>0</v>
      </c>
      <c r="Z145" s="188">
        <f t="shared" si="59"/>
        <v>0</v>
      </c>
    </row>
    <row r="146" spans="1:26">
      <c r="A146" t="s">
        <v>795</v>
      </c>
      <c r="C146" s="188">
        <f>C25</f>
        <v>0</v>
      </c>
      <c r="D146" s="188">
        <f t="shared" ref="D146:Z146" si="60">D25</f>
        <v>0</v>
      </c>
      <c r="E146" s="188">
        <f t="shared" si="60"/>
        <v>0</v>
      </c>
      <c r="F146" s="188">
        <f t="shared" si="60"/>
        <v>0</v>
      </c>
      <c r="G146" s="188">
        <f t="shared" si="60"/>
        <v>0</v>
      </c>
      <c r="H146" s="188">
        <f t="shared" si="60"/>
        <v>0</v>
      </c>
      <c r="I146" s="188">
        <f t="shared" si="60"/>
        <v>0</v>
      </c>
      <c r="J146" s="188">
        <f t="shared" si="60"/>
        <v>0</v>
      </c>
      <c r="K146" s="188">
        <f t="shared" si="60"/>
        <v>0</v>
      </c>
      <c r="L146" s="188">
        <f t="shared" si="60"/>
        <v>0</v>
      </c>
      <c r="M146" s="188">
        <f t="shared" si="60"/>
        <v>0</v>
      </c>
      <c r="N146" s="188">
        <f t="shared" si="60"/>
        <v>0</v>
      </c>
      <c r="O146" s="188">
        <f t="shared" si="60"/>
        <v>0</v>
      </c>
      <c r="P146" s="188">
        <f t="shared" si="60"/>
        <v>0</v>
      </c>
      <c r="Q146" s="188">
        <f t="shared" si="60"/>
        <v>0</v>
      </c>
      <c r="R146" s="188">
        <f t="shared" si="60"/>
        <v>0</v>
      </c>
      <c r="S146" s="188">
        <f t="shared" si="60"/>
        <v>0</v>
      </c>
      <c r="T146" s="188">
        <f t="shared" si="60"/>
        <v>0</v>
      </c>
      <c r="U146" s="188">
        <f t="shared" si="60"/>
        <v>0</v>
      </c>
      <c r="V146" s="188">
        <f t="shared" si="60"/>
        <v>0</v>
      </c>
      <c r="W146" s="188">
        <f t="shared" si="60"/>
        <v>0</v>
      </c>
      <c r="X146" s="188">
        <f t="shared" si="60"/>
        <v>0</v>
      </c>
      <c r="Y146" s="188">
        <f t="shared" si="60"/>
        <v>0</v>
      </c>
      <c r="Z146" s="188">
        <f t="shared" si="60"/>
        <v>0</v>
      </c>
    </row>
    <row r="147" spans="1:26">
      <c r="C147" s="188">
        <f>C49</f>
        <v>0</v>
      </c>
      <c r="D147" s="188">
        <f t="shared" ref="D147:Z147" si="61">D49</f>
        <v>0</v>
      </c>
      <c r="E147" s="188">
        <f t="shared" si="61"/>
        <v>0</v>
      </c>
      <c r="F147" s="188">
        <f t="shared" si="61"/>
        <v>0</v>
      </c>
      <c r="G147" s="188">
        <f t="shared" si="61"/>
        <v>0</v>
      </c>
      <c r="H147" s="188">
        <f t="shared" si="61"/>
        <v>0</v>
      </c>
      <c r="I147" s="188">
        <f t="shared" si="61"/>
        <v>0</v>
      </c>
      <c r="J147" s="188">
        <f t="shared" si="61"/>
        <v>0</v>
      </c>
      <c r="K147" s="188">
        <f t="shared" si="61"/>
        <v>0</v>
      </c>
      <c r="L147" s="188">
        <f t="shared" si="61"/>
        <v>0</v>
      </c>
      <c r="M147" s="188">
        <f t="shared" si="61"/>
        <v>0</v>
      </c>
      <c r="N147" s="188">
        <f t="shared" si="61"/>
        <v>0</v>
      </c>
      <c r="O147" s="188">
        <f t="shared" si="61"/>
        <v>0</v>
      </c>
      <c r="P147" s="188">
        <f t="shared" si="61"/>
        <v>0</v>
      </c>
      <c r="Q147" s="188">
        <f t="shared" si="61"/>
        <v>0</v>
      </c>
      <c r="R147" s="188">
        <f t="shared" si="61"/>
        <v>0</v>
      </c>
      <c r="S147" s="188">
        <f t="shared" si="61"/>
        <v>0</v>
      </c>
      <c r="T147" s="188">
        <f t="shared" si="61"/>
        <v>0</v>
      </c>
      <c r="U147" s="188">
        <f t="shared" si="61"/>
        <v>0</v>
      </c>
      <c r="V147" s="188">
        <f t="shared" si="61"/>
        <v>0</v>
      </c>
      <c r="W147" s="188">
        <f t="shared" si="61"/>
        <v>0</v>
      </c>
      <c r="X147" s="188">
        <f t="shared" si="61"/>
        <v>0</v>
      </c>
      <c r="Y147" s="188">
        <f t="shared" si="61"/>
        <v>0</v>
      </c>
      <c r="Z147" s="188">
        <f t="shared" si="61"/>
        <v>0</v>
      </c>
    </row>
    <row r="148" spans="1:26">
      <c r="C148" s="188">
        <f>C73</f>
        <v>0</v>
      </c>
      <c r="D148" s="188">
        <f t="shared" ref="D148:Z148" si="62">D73</f>
        <v>0</v>
      </c>
      <c r="E148" s="188">
        <f t="shared" si="62"/>
        <v>0</v>
      </c>
      <c r="F148" s="188">
        <f t="shared" si="62"/>
        <v>0</v>
      </c>
      <c r="G148" s="188">
        <f t="shared" si="62"/>
        <v>0</v>
      </c>
      <c r="H148" s="188">
        <f t="shared" si="62"/>
        <v>0</v>
      </c>
      <c r="I148" s="188">
        <f t="shared" si="62"/>
        <v>0</v>
      </c>
      <c r="J148" s="188">
        <f t="shared" si="62"/>
        <v>0</v>
      </c>
      <c r="K148" s="188">
        <f t="shared" si="62"/>
        <v>0</v>
      </c>
      <c r="L148" s="188">
        <f t="shared" si="62"/>
        <v>0</v>
      </c>
      <c r="M148" s="188">
        <f t="shared" si="62"/>
        <v>0</v>
      </c>
      <c r="N148" s="188">
        <f t="shared" si="62"/>
        <v>0</v>
      </c>
      <c r="O148" s="188">
        <f t="shared" si="62"/>
        <v>0</v>
      </c>
      <c r="P148" s="188">
        <f t="shared" si="62"/>
        <v>0</v>
      </c>
      <c r="Q148" s="188">
        <f t="shared" si="62"/>
        <v>0</v>
      </c>
      <c r="R148" s="188">
        <f t="shared" si="62"/>
        <v>0</v>
      </c>
      <c r="S148" s="188">
        <f t="shared" si="62"/>
        <v>0</v>
      </c>
      <c r="T148" s="188">
        <f t="shared" si="62"/>
        <v>0</v>
      </c>
      <c r="U148" s="188">
        <f t="shared" si="62"/>
        <v>0</v>
      </c>
      <c r="V148" s="188">
        <f t="shared" si="62"/>
        <v>0</v>
      </c>
      <c r="W148" s="188">
        <f t="shared" si="62"/>
        <v>0</v>
      </c>
      <c r="X148" s="188">
        <f t="shared" si="62"/>
        <v>0</v>
      </c>
      <c r="Y148" s="188">
        <f t="shared" si="62"/>
        <v>0</v>
      </c>
      <c r="Z148" s="188">
        <f t="shared" si="62"/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5">
    <pageSetUpPr fitToPage="1"/>
  </sheetPr>
  <dimension ref="A1:G242"/>
  <sheetViews>
    <sheetView zoomScaleNormal="100" workbookViewId="0">
      <selection activeCell="H188" sqref="H188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1.8554687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1.3</v>
      </c>
    </row>
    <row r="6" spans="1:7">
      <c r="A6" s="131" t="s">
        <v>652</v>
      </c>
      <c r="B6" s="129" t="s">
        <v>125</v>
      </c>
      <c r="C6" s="102">
        <v>1.3</v>
      </c>
    </row>
    <row r="7" spans="1:7">
      <c r="A7" s="131" t="s">
        <v>651</v>
      </c>
      <c r="B7" s="129" t="s">
        <v>125</v>
      </c>
      <c r="C7" s="102">
        <v>250</v>
      </c>
      <c r="D7" s="167">
        <f>C166</f>
        <v>222.57930973842068</v>
      </c>
      <c r="E7" s="167">
        <f>C7-D7</f>
        <v>27.420690261579324</v>
      </c>
    </row>
    <row r="8" spans="1:7">
      <c r="A8" s="131" t="s">
        <v>503</v>
      </c>
      <c r="B8" s="129" t="s">
        <v>125</v>
      </c>
      <c r="C8" s="130">
        <f>C7</f>
        <v>250</v>
      </c>
      <c r="E8" s="21" t="s">
        <v>799</v>
      </c>
      <c r="F8" s="154">
        <f>C92</f>
        <v>399.26463486646293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250</v>
      </c>
    </row>
    <row r="10" spans="1:7">
      <c r="A10" s="131" t="s">
        <v>654</v>
      </c>
      <c r="B10" s="129" t="s">
        <v>125</v>
      </c>
      <c r="C10" s="130">
        <f>C6</f>
        <v>1.3</v>
      </c>
    </row>
    <row r="11" spans="1:7">
      <c r="A11" s="131" t="s">
        <v>681</v>
      </c>
      <c r="B11" s="129" t="s">
        <v>125</v>
      </c>
      <c r="C11" s="130">
        <f>0.5*(C7+C6)</f>
        <v>125.65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390</v>
      </c>
      <c r="D14" s="154">
        <f>f_b_000_Interpolate(D81,Fuel!E159:E183,Fuel!A159:A183)</f>
        <v>389.62204768586656</v>
      </c>
      <c r="E14" s="160">
        <f>C14-D14</f>
        <v>0.37795231413343799</v>
      </c>
    </row>
    <row r="15" spans="1:7" ht="30">
      <c r="A15" s="131" t="s">
        <v>640</v>
      </c>
      <c r="B15" s="129" t="s">
        <v>125</v>
      </c>
      <c r="C15" s="102">
        <v>180</v>
      </c>
      <c r="D15" s="167">
        <f>C164</f>
        <v>198.64918731329607</v>
      </c>
      <c r="E15" s="167">
        <f>C15-D15</f>
        <v>-18.649187313296068</v>
      </c>
    </row>
    <row r="16" spans="1:7">
      <c r="A16" s="131"/>
      <c r="C16" s="134"/>
      <c r="E16" s="21" t="s">
        <v>800</v>
      </c>
      <c r="F16" s="154">
        <f>C86</f>
        <v>399.9992773446462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140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>
      <c r="A19" s="153" t="s">
        <v>657</v>
      </c>
      <c r="C19" s="134"/>
    </row>
    <row r="20" spans="1:5" s="150" customFormat="1">
      <c r="A20" s="152" t="s">
        <v>658</v>
      </c>
      <c r="C20" s="130">
        <f>C28-C27+C31</f>
        <v>1.18</v>
      </c>
    </row>
    <row r="21" spans="1:5" s="150" customFormat="1">
      <c r="A21" s="152" t="s">
        <v>634</v>
      </c>
      <c r="C21" s="130">
        <f>C20-C31</f>
        <v>1.1499999999999999</v>
      </c>
    </row>
    <row r="22" spans="1:5" s="150" customFormat="1">
      <c r="A22" s="152" t="s">
        <v>659</v>
      </c>
      <c r="C22" s="155">
        <f>C20*(C6-C5)/(C7-C6)</f>
        <v>0</v>
      </c>
    </row>
    <row r="23" spans="1:5" s="150" customFormat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>
      <c r="A26" s="131" t="s">
        <v>497</v>
      </c>
      <c r="C26" s="130">
        <f>Fuel!B79</f>
        <v>1.1499999999999999</v>
      </c>
    </row>
    <row r="27" spans="1:5">
      <c r="A27" s="131" t="s">
        <v>498</v>
      </c>
      <c r="C27" s="130">
        <f>Fuel!B75</f>
        <v>0.05</v>
      </c>
    </row>
    <row r="28" spans="1:5">
      <c r="A28" s="131" t="s">
        <v>127</v>
      </c>
      <c r="C28" s="130">
        <f>C26+C27</f>
        <v>1.2</v>
      </c>
    </row>
    <row r="29" spans="1:5">
      <c r="A29" s="131" t="s">
        <v>549</v>
      </c>
      <c r="C29" s="130">
        <v>0</v>
      </c>
    </row>
    <row r="30" spans="1:5" ht="30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1.1825789715780926</v>
      </c>
      <c r="D34" s="147">
        <f>C73*Fuel!B88*C26</f>
        <v>1.1825789715780926</v>
      </c>
    </row>
    <row r="35" spans="1:4">
      <c r="A35" s="62"/>
      <c r="B35" s="129" t="s">
        <v>642</v>
      </c>
      <c r="C35" s="139">
        <f>D35</f>
        <v>4257.2842976811335</v>
      </c>
      <c r="D35" s="148">
        <f>D34*3600</f>
        <v>4257.2842976811335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1.3726594440715336</v>
      </c>
      <c r="D49" s="154">
        <f>C73*Fuel!E107</f>
        <v>1.3726594440715336</v>
      </c>
    </row>
    <row r="50" spans="1:4">
      <c r="A50" s="62"/>
      <c r="B50" s="129" t="s">
        <v>642</v>
      </c>
      <c r="C50" s="139">
        <f>D50</f>
        <v>4941.5739986575209</v>
      </c>
      <c r="D50" s="148">
        <f>D49*3600</f>
        <v>4941.5739986575209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3.9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60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29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113.85628434782609</v>
      </c>
      <c r="D61" s="129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19.289578271600003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19.289578271600003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3745.8748600000008</v>
      </c>
    </row>
    <row r="65" spans="1:3" ht="30">
      <c r="A65" s="131" t="s">
        <v>501</v>
      </c>
      <c r="B65" s="129" t="s">
        <v>210</v>
      </c>
      <c r="C65" s="116">
        <f>C26*(C64-C62)</f>
        <v>4285.5730739876608</v>
      </c>
    </row>
    <row r="66" spans="1:3" ht="30">
      <c r="A66" s="131" t="s">
        <v>144</v>
      </c>
      <c r="B66" s="129" t="s">
        <v>210</v>
      </c>
      <c r="C66" s="116">
        <f>C58+C61+C65</f>
        <v>47075.393358335496</v>
      </c>
    </row>
    <row r="67" spans="1:3" ht="30">
      <c r="A67" s="131" t="s">
        <v>143</v>
      </c>
      <c r="B67" s="129" t="s">
        <v>502</v>
      </c>
      <c r="C67" s="102">
        <v>2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3750.298955663081</v>
      </c>
    </row>
    <row r="71" spans="1:3">
      <c r="A71" s="131" t="s">
        <v>140</v>
      </c>
      <c r="B71" s="129" t="s">
        <v>502</v>
      </c>
      <c r="C71" s="116">
        <f>(C70-C32*C62)*(100-C68)/C66</f>
        <v>7.9161797884991234</v>
      </c>
    </row>
    <row r="72" spans="1:3">
      <c r="A72" s="131" t="s">
        <v>139</v>
      </c>
      <c r="B72" s="129" t="s">
        <v>502</v>
      </c>
      <c r="C72" s="116">
        <f>100-C71-C69-C68-C67</f>
        <v>90.083820211500878</v>
      </c>
    </row>
    <row r="73" spans="1:3">
      <c r="A73" s="131" t="s">
        <v>138</v>
      </c>
      <c r="B73" s="129" t="s">
        <v>508</v>
      </c>
      <c r="C73" s="132">
        <f>C57*1000*100/C66/C72</f>
        <v>9.1965270849544853E-2</v>
      </c>
    </row>
    <row r="74" spans="1:3">
      <c r="A74" s="131"/>
      <c r="B74" s="129" t="s">
        <v>215</v>
      </c>
      <c r="C74" s="133">
        <f>C73*3600</f>
        <v>331.07497505836147</v>
      </c>
    </row>
    <row r="75" spans="1:3">
      <c r="A75" s="131"/>
      <c r="B75" s="129" t="s">
        <v>96</v>
      </c>
      <c r="C75" s="132">
        <f>C73*Fuel!B39</f>
        <v>8.3797108619757074E-2</v>
      </c>
    </row>
    <row r="76" spans="1:3">
      <c r="A76" s="131"/>
      <c r="B76" s="129" t="s">
        <v>95</v>
      </c>
      <c r="C76" s="133">
        <f>C75*3600</f>
        <v>301.66959103112549</v>
      </c>
    </row>
    <row r="77" spans="1:3">
      <c r="A77" s="131" t="s">
        <v>128</v>
      </c>
      <c r="C77" s="132">
        <f>1-(C67/(C67+C72))</f>
        <v>0.97828065782450879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210</v>
      </c>
      <c r="C81" s="116">
        <f>f_b_000_Interpolate(C14,Fuel!A159:A183,Fuel!E159:E183)</f>
        <v>8140.2537764877225</v>
      </c>
      <c r="D81" s="154">
        <f>C91/C77+C82-C31*C83</f>
        <v>8132.0881649543608</v>
      </c>
      <c r="E81" s="150"/>
    </row>
    <row r="82" spans="1:5">
      <c r="A82" s="131" t="s">
        <v>676</v>
      </c>
      <c r="B82" s="129" t="s">
        <v>210</v>
      </c>
      <c r="C82" s="116">
        <f>f_b_000_Interpolate(C15,Fuel!A159:A183,Fuel!F159:F183)</f>
        <v>3750.298955663081</v>
      </c>
    </row>
    <row r="83" spans="1:5">
      <c r="A83" s="131" t="s">
        <v>682</v>
      </c>
      <c r="B83" s="129" t="s">
        <v>210</v>
      </c>
      <c r="C83" s="116">
        <f>f_b_000_Interpolate(C11,Fuel!A159:A183,Fuel!B159:B183)</f>
        <v>1869.0009068822003</v>
      </c>
    </row>
    <row r="84" spans="1:5">
      <c r="A84" s="131"/>
      <c r="C84" s="20"/>
    </row>
    <row r="85" spans="1:5">
      <c r="A85" s="131" t="s">
        <v>677</v>
      </c>
      <c r="B85" s="129" t="s">
        <v>210</v>
      </c>
      <c r="C85" s="116">
        <f>C77*(C81-C82+C31*C83)</f>
        <v>4349.4601130359833</v>
      </c>
    </row>
    <row r="86" spans="1:5">
      <c r="A86" s="131"/>
      <c r="B86" s="129" t="s">
        <v>678</v>
      </c>
      <c r="C86" s="42">
        <f>C85*C73</f>
        <v>399.9992773446462</v>
      </c>
    </row>
    <row r="87" spans="1:5">
      <c r="A87" s="131"/>
      <c r="C87" s="20"/>
    </row>
    <row r="88" spans="1:5">
      <c r="A88" s="131" t="s">
        <v>637</v>
      </c>
      <c r="B88" s="129" t="s">
        <v>210</v>
      </c>
      <c r="C88" s="116">
        <f>f_b_000_Interpolate(C6,Fuel!A159:A183,Fuel!B159:B183)</f>
        <v>19.289578271600003</v>
      </c>
    </row>
    <row r="89" spans="1:5">
      <c r="A89" s="131" t="s">
        <v>679</v>
      </c>
      <c r="B89" s="129" t="s">
        <v>210</v>
      </c>
      <c r="C89" s="116">
        <f>f_b_000_Interpolate(C7,Fuel!A159:A183,Fuel!B159:B183)</f>
        <v>3745.8748600000008</v>
      </c>
    </row>
    <row r="90" spans="1:5">
      <c r="A90" s="131"/>
      <c r="C90" s="20"/>
    </row>
    <row r="91" spans="1:5">
      <c r="A91" s="131" t="s">
        <v>680</v>
      </c>
      <c r="B91" s="129" t="s">
        <v>210</v>
      </c>
      <c r="C91" s="116">
        <f>C23*(C89-C88)</f>
        <v>4341.4718532135867</v>
      </c>
    </row>
    <row r="92" spans="1:5">
      <c r="A92" s="131"/>
      <c r="B92" s="129" t="s">
        <v>678</v>
      </c>
      <c r="C92" s="42">
        <f>C91*C73</f>
        <v>399.26463486646293</v>
      </c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100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51</v>
      </c>
      <c r="F102" s="148">
        <f>f_b_004_f_10_s2MinAH(E96,E100,E101)</f>
        <v>36.660605559646719</v>
      </c>
    </row>
    <row r="103" spans="1:6">
      <c r="A103" s="131"/>
      <c r="B103" s="163">
        <f>C140</f>
        <v>6.2330414197207604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76.999819940926301</v>
      </c>
    </row>
    <row r="106" spans="1:6">
      <c r="A106" s="129" t="s">
        <v>683</v>
      </c>
      <c r="B106" s="129" t="s">
        <v>249</v>
      </c>
      <c r="C106" s="149">
        <v>12</v>
      </c>
      <c r="D106" s="129" t="s">
        <v>685</v>
      </c>
    </row>
    <row r="107" spans="1:6" ht="30">
      <c r="A107" s="131" t="s">
        <v>684</v>
      </c>
      <c r="B107" s="129" t="s">
        <v>249</v>
      </c>
      <c r="C107" s="149">
        <v>6</v>
      </c>
      <c r="D107" s="129" t="s">
        <v>686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3</v>
      </c>
      <c r="D111" s="162"/>
      <c r="E111" s="149">
        <v>1</v>
      </c>
    </row>
    <row r="112" spans="1:6">
      <c r="A112" s="131" t="s">
        <v>627</v>
      </c>
      <c r="B112" s="129" t="s">
        <v>377</v>
      </c>
      <c r="C112" s="149">
        <v>4</v>
      </c>
      <c r="D112" s="154">
        <f>C160</f>
        <v>4.5039771721701527</v>
      </c>
      <c r="E112" s="149">
        <v>9</v>
      </c>
      <c r="F112" s="154">
        <f>E160</f>
        <v>9.6301315314779288</v>
      </c>
    </row>
    <row r="113" spans="1:6">
      <c r="A113" s="131" t="s">
        <v>802</v>
      </c>
      <c r="C113" s="156">
        <f>IF(C112&lt;=5,C112,5)</f>
        <v>4</v>
      </c>
      <c r="D113" s="160"/>
      <c r="E113" s="156">
        <f>IF(E112&lt;=5,E112,5)</f>
        <v>5</v>
      </c>
      <c r="F113" s="160"/>
    </row>
    <row r="114" spans="1:6">
      <c r="A114" s="131" t="s">
        <v>725</v>
      </c>
      <c r="B114" s="129" t="s">
        <v>152</v>
      </c>
      <c r="C114" s="156">
        <f>C111*C112</f>
        <v>12</v>
      </c>
      <c r="D114" s="154">
        <f>C161</f>
        <v>13.023548449648631</v>
      </c>
      <c r="E114" s="156">
        <f>E111*E112</f>
        <v>9</v>
      </c>
      <c r="F114" s="154">
        <f>E161</f>
        <v>9.6301315314779306</v>
      </c>
    </row>
    <row r="115" spans="1:6">
      <c r="A115" s="131"/>
    </row>
    <row r="116" spans="1:6" ht="30">
      <c r="A116" s="131" t="s">
        <v>688</v>
      </c>
      <c r="B116" s="151">
        <f>C118*C117</f>
        <v>80</v>
      </c>
      <c r="C116" s="156">
        <f>f_b_004_f_11_nTubeAH(C35/3600,0.5*(C6+C7),C96/1000,C97/1000,C106)</f>
        <v>83</v>
      </c>
      <c r="D116" s="151">
        <f>f_b_004_f_11_nTubeAH(C35/3600,0.5*(C6+C7),C96/1000,C97/1000,C106)</f>
        <v>83</v>
      </c>
      <c r="E116" s="156">
        <f>E117*E118</f>
        <v>552</v>
      </c>
    </row>
    <row r="117" spans="1:6">
      <c r="A117" s="131" t="s">
        <v>689</v>
      </c>
      <c r="C117" s="156">
        <f>f_b_004_f_12_z1AH(C50/3600,0.5*(C14+C15),C96/1000,C101/1000,C111,C107)</f>
        <v>10</v>
      </c>
      <c r="D117" s="151">
        <f>f_b_004_f_12_z1AH(C50/3600,0.5*(C14+C15),C96/1000,C101/1000,C111,C107)</f>
        <v>10</v>
      </c>
      <c r="E117" s="149">
        <v>46</v>
      </c>
    </row>
    <row r="118" spans="1:6">
      <c r="A118" s="131" t="s">
        <v>690</v>
      </c>
      <c r="C118" s="156">
        <f>ROUND(C116/C117,0)</f>
        <v>8</v>
      </c>
      <c r="E118" s="149">
        <v>12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0.76749999999999996</v>
      </c>
      <c r="E120" s="121">
        <f>(E101*(E117-1)+(0.5*E96+E109)*2+E101/2)/1000</f>
        <v>4.7</v>
      </c>
    </row>
    <row r="121" spans="1:6">
      <c r="A121" s="131" t="s">
        <v>693</v>
      </c>
      <c r="B121" s="129" t="s">
        <v>152</v>
      </c>
      <c r="C121" s="121">
        <f>(C102*(C118-1)+2*(C96/2+C109))/1000</f>
        <v>0.53500000000000003</v>
      </c>
      <c r="E121" s="121">
        <f>(E102*(E118-1)+2*(E96/2+E109))/1000</f>
        <v>0.71099999999999997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37.699111843077517</v>
      </c>
      <c r="E123" s="124">
        <f>PI()*(E96)/1000*E116*E111</f>
        <v>86.707957239078297</v>
      </c>
    </row>
    <row r="124" spans="1:6">
      <c r="A124" s="131" t="s">
        <v>695</v>
      </c>
      <c r="B124" s="129" t="s">
        <v>352</v>
      </c>
      <c r="C124" s="124">
        <f>C123*C112</f>
        <v>150.79644737231007</v>
      </c>
      <c r="D124" s="158">
        <f>C159</f>
        <v>169.79593915231058</v>
      </c>
      <c r="E124" s="124">
        <f>E123*E112</f>
        <v>780.37161515170465</v>
      </c>
      <c r="F124" s="158">
        <f>E159</f>
        <v>835.00903303808786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1775.6281678089513</v>
      </c>
      <c r="D126" s="160"/>
      <c r="E126" s="124">
        <f>7850*E124*E97/1000</f>
        <v>9188.8757684113207</v>
      </c>
      <c r="F126" s="160"/>
    </row>
    <row r="127" spans="1:6">
      <c r="A127" s="131" t="s">
        <v>729</v>
      </c>
      <c r="C127" s="168">
        <f>C120*C121*7850*16/1000*2</f>
        <v>103.14586</v>
      </c>
      <c r="D127" s="168"/>
      <c r="E127" s="168">
        <f>E120*E121*7850*16/1000*2</f>
        <v>839.43503999999996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1775.6281678089513</v>
      </c>
      <c r="D129" s="160"/>
      <c r="E129" s="124">
        <f>E126</f>
        <v>9188.8757684113207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1.3*273.15/(0.5*(C14+C15)+273.15)</f>
        <v>0.63619994625100773</v>
      </c>
    </row>
    <row r="135" spans="1:6">
      <c r="A135" s="157" t="s">
        <v>708</v>
      </c>
      <c r="B135" s="129" t="s">
        <v>721</v>
      </c>
      <c r="C135" s="121">
        <f>f_b_004_f_29_LambdaProductCombation(Fuel!E114,0.5*(C14+C15))</f>
        <v>4.7774361250000008E-2</v>
      </c>
    </row>
    <row r="136" spans="1:6" ht="30">
      <c r="A136" s="157" t="s">
        <v>709</v>
      </c>
      <c r="B136" s="129" t="s">
        <v>710</v>
      </c>
      <c r="C136" s="165">
        <f>f_b_004_f_25_NuProductCombation(Fuel!E114,0.5*(C14+C15))</f>
        <v>4.2103704923728744E-5</v>
      </c>
    </row>
    <row r="137" spans="1:6">
      <c r="A137" s="137" t="s">
        <v>711</v>
      </c>
      <c r="C137" s="166">
        <f>f_b_004_f_20_Reynolds(C140,C96/1000,C136)</f>
        <v>7402.0106199822239</v>
      </c>
      <c r="E137" s="166">
        <f>f_b_004_f_20_Reynolds(E140,E96/1000,C136)</f>
        <v>1448.2194691269567</v>
      </c>
    </row>
    <row r="138" spans="1:6">
      <c r="A138" s="137" t="s">
        <v>712</v>
      </c>
      <c r="C138" s="121">
        <f>f_b_004_f_27_PrProductCombation(Fuel!E114,0.5*(C14+C15))</f>
        <v>0.67455012883640031</v>
      </c>
    </row>
    <row r="139" spans="1:6">
      <c r="A139" s="137" t="s">
        <v>713</v>
      </c>
      <c r="C139" s="166">
        <f>C137*C138</f>
        <v>4993.0272173574122</v>
      </c>
      <c r="E139" s="166">
        <f>E137*C138</f>
        <v>976.89662948297189</v>
      </c>
    </row>
    <row r="140" spans="1:6">
      <c r="A140" s="157" t="s">
        <v>706</v>
      </c>
      <c r="B140" s="129" t="s">
        <v>249</v>
      </c>
      <c r="C140" s="122">
        <f>f_b_004_f_14_w2AH(0,C96/1000,C101/1000,C102/1000,C111,C117,C50/3600,0.5*(C14+C15))</f>
        <v>6.2330414197207604</v>
      </c>
      <c r="E140" s="122">
        <f>f_b_004_f_14_w2AH(0,E96/1000,E101/1000,E102/1000,E111,E117,C50/3600,0.5*(C14+C15))</f>
        <v>1.2195081038584095</v>
      </c>
    </row>
    <row r="141" spans="1:6" ht="30">
      <c r="A141" s="137" t="s">
        <v>714</v>
      </c>
      <c r="B141" s="142" t="s">
        <v>614</v>
      </c>
      <c r="C141" s="161">
        <f>f_b_004_f_16_Alfa01(C137,C138,C96/1000,C101/1000,C102/1000,C118,C135)</f>
        <v>58.331279525348535</v>
      </c>
      <c r="E141" s="161">
        <f>f_b_004_f_16_Alfa01(E137,C138,E96/1000,E101/1000,E102/1000,E118,C135)</f>
        <v>27.999848052440399</v>
      </c>
    </row>
    <row r="142" spans="1:6">
      <c r="A142" s="137"/>
    </row>
    <row r="143" spans="1:6">
      <c r="A143" s="137" t="s">
        <v>705</v>
      </c>
    </row>
    <row r="144" spans="1:6">
      <c r="A144" s="131" t="s">
        <v>716</v>
      </c>
      <c r="B144" s="129" t="s">
        <v>207</v>
      </c>
      <c r="C144" s="121">
        <f>1.29*273.15/(0.5*(C6+C7)+273.15)</f>
        <v>0.88355942828485468</v>
      </c>
    </row>
    <row r="145" spans="1:6">
      <c r="A145" s="131" t="s">
        <v>717</v>
      </c>
      <c r="B145" s="129" t="s">
        <v>721</v>
      </c>
      <c r="C145" s="121">
        <f>f_b_004_f_30_LambdaAir(0.5*(C6+C7))</f>
        <v>3.3621150000000002E-2</v>
      </c>
    </row>
    <row r="146" spans="1:6">
      <c r="A146" s="131" t="s">
        <v>718</v>
      </c>
      <c r="B146" s="129" t="s">
        <v>710</v>
      </c>
      <c r="C146" s="165">
        <f>f_b_004_f_26_NuAir(0.5*(C6+C7))</f>
        <v>2.6526699999999998E-5</v>
      </c>
    </row>
    <row r="147" spans="1:6">
      <c r="A147" s="137" t="s">
        <v>711</v>
      </c>
      <c r="C147" s="166">
        <f>f_b_004_f_20_Reynolds(C150,(C96-2*C97)/1000,C146)</f>
        <v>21261.596806236739</v>
      </c>
      <c r="E147" s="166">
        <f>f_b_004_f_20_Reynolds(E150,(E96-2*E97)/1000,C146)</f>
        <v>3543.5994677061226</v>
      </c>
    </row>
    <row r="148" spans="1:6">
      <c r="A148" s="137" t="s">
        <v>712</v>
      </c>
      <c r="C148" s="156">
        <f>f_b_004_f_28_PrAir(0.5*(C6+C7))</f>
        <v>0.69</v>
      </c>
    </row>
    <row r="149" spans="1:6">
      <c r="A149" s="137" t="s">
        <v>713</v>
      </c>
      <c r="C149" s="166">
        <f>C147*C148</f>
        <v>14670.50179630335</v>
      </c>
      <c r="E149" s="166">
        <f>E147*C148</f>
        <v>2445.0836327172242</v>
      </c>
    </row>
    <row r="150" spans="1:6">
      <c r="A150" s="131" t="s">
        <v>719</v>
      </c>
      <c r="B150" s="129" t="s">
        <v>249</v>
      </c>
      <c r="C150" s="122">
        <f>f_b_004_f_13_w1AH(C96/1000,C97/1000,C117,C118,C35/3600,0.5*(C6+C7))</f>
        <v>12</v>
      </c>
      <c r="E150" s="122">
        <f>f_b_004_f_13_w1AH(E96/1000,E97/1000,E117,E118,C35/3600,0.5*(C6+C7))</f>
        <v>2</v>
      </c>
    </row>
    <row r="151" spans="1:6" ht="30">
      <c r="A151" s="137" t="s">
        <v>801</v>
      </c>
      <c r="B151" s="142" t="s">
        <v>715</v>
      </c>
      <c r="C151" s="161">
        <f>f_b_004_f_17_Alfa02(C147,C148,(C96-2*C97)/1000,C111,C98/C96,C145)</f>
        <v>34.187808704530973</v>
      </c>
      <c r="E151" s="161">
        <f>f_b_004_f_17_Alfa02(E147,C148,(C96-2*C97)/1000,C111,C98/C96,C145)</f>
        <v>5.8862743375337212</v>
      </c>
    </row>
    <row r="152" spans="1:6">
      <c r="A152" s="131"/>
    </row>
    <row r="153" spans="1:6">
      <c r="A153" s="131" t="s">
        <v>703</v>
      </c>
      <c r="C153" s="149">
        <v>0.8</v>
      </c>
      <c r="E153" s="149">
        <v>0.8</v>
      </c>
    </row>
    <row r="154" spans="1:6">
      <c r="A154" s="137" t="s">
        <v>701</v>
      </c>
      <c r="B154" s="142" t="s">
        <v>702</v>
      </c>
      <c r="C154" s="161">
        <f>C153*C141/(1+C141/C151)</f>
        <v>17.243737819362529</v>
      </c>
      <c r="E154" s="161">
        <f>E153*E141/(1+E141/E151)</f>
        <v>3.8910273686478143</v>
      </c>
    </row>
    <row r="155" spans="1:6">
      <c r="A155" s="131" t="s">
        <v>848</v>
      </c>
      <c r="C155" s="129">
        <v>0</v>
      </c>
      <c r="E155" s="129">
        <v>0</v>
      </c>
    </row>
    <row r="156" spans="1:6" ht="30">
      <c r="A156" s="137" t="s">
        <v>698</v>
      </c>
      <c r="B156" s="142" t="s">
        <v>125</v>
      </c>
      <c r="C156" s="161">
        <f>f_b_004_f_33_dtlogAH(C155,C113,C14,C15,C6,C7)</f>
        <v>136.36475404413281</v>
      </c>
      <c r="E156" s="161">
        <f>f_b_004_f_33_dtlogAH(E155,E113,C14,C15,C6,C7)</f>
        <v>122.88684230721272</v>
      </c>
    </row>
    <row r="157" spans="1:6">
      <c r="A157" s="137" t="s">
        <v>704</v>
      </c>
      <c r="B157" s="142" t="s">
        <v>678</v>
      </c>
      <c r="C157" s="161">
        <f>C154*C156*C124/1000</f>
        <v>354.58850665007708</v>
      </c>
      <c r="D157" s="150"/>
      <c r="E157" s="161">
        <f>E154*E156*E124/1000</f>
        <v>373.13942203722866</v>
      </c>
    </row>
    <row r="158" spans="1:6">
      <c r="A158" s="131" t="s">
        <v>696</v>
      </c>
      <c r="B158" s="129" t="s">
        <v>678</v>
      </c>
      <c r="C158" s="124">
        <f>C92</f>
        <v>399.26463486646293</v>
      </c>
      <c r="E158" s="124">
        <f>C92</f>
        <v>399.26463486646293</v>
      </c>
    </row>
    <row r="159" spans="1:6">
      <c r="A159" s="131" t="s">
        <v>697</v>
      </c>
      <c r="B159" s="129" t="s">
        <v>352</v>
      </c>
      <c r="C159" s="124">
        <f>C158/C154/C156*1000</f>
        <v>169.79593915231058</v>
      </c>
      <c r="D159" s="154">
        <f>C124</f>
        <v>150.79644737231007</v>
      </c>
      <c r="E159" s="124">
        <f>E158/E154/E156*1000</f>
        <v>835.00903303808786</v>
      </c>
      <c r="F159" s="154">
        <f>E124</f>
        <v>780.37161515170465</v>
      </c>
    </row>
    <row r="160" spans="1:6">
      <c r="A160" s="131" t="s">
        <v>723</v>
      </c>
      <c r="C160" s="124">
        <f>C159/C123</f>
        <v>4.5039771721701527</v>
      </c>
      <c r="E160" s="124">
        <f>E159/E123</f>
        <v>9.6301315314779288</v>
      </c>
    </row>
    <row r="161" spans="1:5">
      <c r="A161" s="131" t="s">
        <v>724</v>
      </c>
      <c r="B161" s="129" t="s">
        <v>152</v>
      </c>
      <c r="C161" s="121">
        <f>C159*1000/PI()/C96/C116</f>
        <v>13.023548449648631</v>
      </c>
      <c r="E161" s="121">
        <f>E159*1000/PI()/E96/E116</f>
        <v>9.6301315314779306</v>
      </c>
    </row>
    <row r="162" spans="1:5">
      <c r="A162" s="131"/>
    </row>
    <row r="163" spans="1:5">
      <c r="A163" s="131" t="s">
        <v>733</v>
      </c>
      <c r="B163" s="129" t="s">
        <v>210</v>
      </c>
      <c r="C163" s="167">
        <f>C81-C157/C73/C77-C31*C83</f>
        <v>4142.9033503315877</v>
      </c>
      <c r="E163" s="167">
        <f>C81-E157/C73/C77-C31*C83</f>
        <v>3936.7084008993816</v>
      </c>
    </row>
    <row r="164" spans="1:5">
      <c r="A164" s="131" t="s">
        <v>732</v>
      </c>
      <c r="B164" s="129" t="s">
        <v>125</v>
      </c>
      <c r="C164" s="167">
        <f>f_b_000_Interpolate(C163,Fuel!F159:F183,Fuel!A159:A183)</f>
        <v>198.64918731329607</v>
      </c>
      <c r="E164" s="167">
        <f>f_b_000_Interpolate(E163,Fuel!F159:F183,Fuel!A159:A183)</f>
        <v>188.85467587318948</v>
      </c>
    </row>
    <row r="165" spans="1:5">
      <c r="A165" s="131" t="s">
        <v>734</v>
      </c>
      <c r="B165" s="129" t="s">
        <v>210</v>
      </c>
      <c r="C165" s="167">
        <f>C157/C73/C23+C88</f>
        <v>3328.8847554006343</v>
      </c>
      <c r="E165" s="167">
        <f>E157/C73/C23+C88</f>
        <v>3502.031992113622</v>
      </c>
    </row>
    <row r="166" spans="1:5">
      <c r="A166" s="131" t="s">
        <v>735</v>
      </c>
      <c r="B166" s="129" t="s">
        <v>125</v>
      </c>
      <c r="C166" s="167">
        <f>f_b_000_Interpolate(C165,Fuel!B159:B183,Fuel!A159:A183)</f>
        <v>222.57930973842068</v>
      </c>
      <c r="E166" s="167">
        <f>f_b_000_Interpolate(E165,Fuel!B159:B183,Fuel!A159:A183)</f>
        <v>233.96523159888491</v>
      </c>
    </row>
    <row r="167" spans="1:5">
      <c r="A167" s="131"/>
      <c r="C167" s="167"/>
      <c r="E167" s="167"/>
    </row>
    <row r="168" spans="1:5">
      <c r="A168" s="62" t="s">
        <v>738</v>
      </c>
      <c r="C168" s="167"/>
      <c r="E168" s="167"/>
    </row>
    <row r="169" spans="1:5">
      <c r="A169" s="131"/>
      <c r="C169" s="167"/>
      <c r="E169" s="167"/>
    </row>
    <row r="170" spans="1:5">
      <c r="A170" s="131" t="s">
        <v>739</v>
      </c>
      <c r="B170" s="129" t="s">
        <v>740</v>
      </c>
      <c r="C170" s="167">
        <f>f_b_004_f_24_KLUniversal((C96)/1000,(C96-2*C97)/1000,C141,C151,45)</f>
        <v>3.2524987994086376</v>
      </c>
      <c r="D170" s="167"/>
      <c r="E170" s="167"/>
    </row>
    <row r="171" spans="1:5">
      <c r="A171" s="131" t="s">
        <v>741</v>
      </c>
      <c r="B171" s="129" t="s">
        <v>125</v>
      </c>
      <c r="C171" s="167">
        <f>C15-C6</f>
        <v>178.7</v>
      </c>
      <c r="E171" s="167"/>
    </row>
    <row r="172" spans="1:5">
      <c r="A172" s="131" t="s">
        <v>742</v>
      </c>
      <c r="B172" s="129" t="s">
        <v>743</v>
      </c>
      <c r="C172" s="167">
        <f>C170*C171</f>
        <v>581.22153545432354</v>
      </c>
      <c r="E172" s="167"/>
    </row>
    <row r="173" spans="1:5">
      <c r="A173" s="131" t="s">
        <v>744</v>
      </c>
      <c r="B173" s="129" t="s">
        <v>125</v>
      </c>
      <c r="C173" s="167">
        <f>C6+C172/(PI()*(C96)/1000*C151)</f>
        <v>109.53072189093784</v>
      </c>
      <c r="E173" s="167"/>
    </row>
    <row r="174" spans="1:5">
      <c r="A174" s="131" t="s">
        <v>745</v>
      </c>
      <c r="B174" s="129" t="s">
        <v>125</v>
      </c>
      <c r="C174" s="167">
        <f>C15-C172/(PI()*(C96-2*C97)/1000*C141)</f>
        <v>112.51729793284602</v>
      </c>
      <c r="E174" s="167"/>
    </row>
    <row r="175" spans="1:5" ht="30" hidden="1">
      <c r="A175" s="131" t="s">
        <v>746</v>
      </c>
      <c r="B175" s="129" t="s">
        <v>125</v>
      </c>
      <c r="C175" s="167">
        <v>180</v>
      </c>
      <c r="D175" s="129">
        <f>C6+0.5*(C15-C6)</f>
        <v>90.649999999999991</v>
      </c>
      <c r="E175" s="167"/>
    </row>
    <row r="176" spans="1:5" hidden="1">
      <c r="A176" s="131" t="s">
        <v>747</v>
      </c>
      <c r="B176" s="129" t="s">
        <v>125</v>
      </c>
      <c r="C176" s="167">
        <f>(C141*C175*C96/(C96-2*C97)+C6*C151)/(C141*C96/(C96-2*C97)+C151)</f>
        <v>116.52107733854477</v>
      </c>
      <c r="E176" s="167"/>
    </row>
    <row r="177" spans="1:5">
      <c r="A177" s="131"/>
      <c r="C177" s="154" t="s">
        <v>809</v>
      </c>
      <c r="E177" s="167"/>
    </row>
    <row r="178" spans="1:5">
      <c r="A178" s="131"/>
      <c r="C178" s="167"/>
      <c r="E178" s="167"/>
    </row>
    <row r="179" spans="1:5">
      <c r="A179" s="131"/>
    </row>
    <row r="180" spans="1:5">
      <c r="A180" s="62" t="s">
        <v>736</v>
      </c>
      <c r="C180" s="167"/>
    </row>
    <row r="181" spans="1:5">
      <c r="A181" s="131"/>
    </row>
    <row r="182" spans="1:5" ht="45">
      <c r="A182" s="131" t="s">
        <v>748</v>
      </c>
      <c r="C182" s="124">
        <f>f_b_004_f_18_DzettaChessBundle(C96/1000,C101/1000,C102/1000,C118,C137)</f>
        <v>3.7870785232386606</v>
      </c>
      <c r="E182" s="124">
        <f>f_b_004_f_18_DzettaChessBundle(E96/1000,E101/1000,E102/1000,E118,E137)</f>
        <v>8.9111759068248393</v>
      </c>
    </row>
    <row r="183" spans="1:5" ht="45">
      <c r="A183" s="131" t="s">
        <v>737</v>
      </c>
      <c r="C183" s="149">
        <v>2</v>
      </c>
      <c r="E183" s="149">
        <v>2</v>
      </c>
    </row>
    <row r="184" spans="1:5" ht="30">
      <c r="A184" s="131" t="s">
        <v>806</v>
      </c>
      <c r="B184" s="129" t="s">
        <v>271</v>
      </c>
      <c r="C184" s="124">
        <f>f_b_004_f_22_DragOuterTubeWashingAH(C182,0,C112,C140,C134)</f>
        <v>187.20953285704516</v>
      </c>
      <c r="E184" s="124">
        <f>f_b_004_f_22_DragOuterTubeWashingAH(E182,0,E112,E140,C134)</f>
        <v>37.941154331867622</v>
      </c>
    </row>
    <row r="185" spans="1:5" ht="30">
      <c r="A185" s="131" t="s">
        <v>807</v>
      </c>
      <c r="B185" s="129" t="s">
        <v>271</v>
      </c>
      <c r="C185" s="124">
        <f>f_b_004_f_21_DragInnerTubeWashingAH(C96/1000,C97/1000,C183,C114,1,f_b_004_f_15_LambdaGidr(C147,C98/C96),C150,C144)</f>
        <v>594.28267514759796</v>
      </c>
      <c r="E185" s="124">
        <f>f_b_004_f_21_DragInnerTubeWashingAH(E96/1000,E97/1000,E183,E114,1,f_b_004_f_15_LambdaGidr(E147,E98/E96),E150,C144)</f>
        <v>17.046530354778227</v>
      </c>
    </row>
    <row r="186" spans="1:5">
      <c r="A186" s="131"/>
    </row>
    <row r="187" spans="1:5" ht="30">
      <c r="A187" s="131" t="s">
        <v>808</v>
      </c>
    </row>
    <row r="188" spans="1:5">
      <c r="A188" s="131"/>
    </row>
    <row r="189" spans="1:5">
      <c r="A189" s="131"/>
    </row>
    <row r="190" spans="1:5">
      <c r="A190" s="137" t="s">
        <v>812</v>
      </c>
    </row>
    <row r="191" spans="1:5">
      <c r="A191" s="137"/>
    </row>
    <row r="192" spans="1:5">
      <c r="A192" s="137" t="s">
        <v>240</v>
      </c>
      <c r="B192" s="129" t="s">
        <v>95</v>
      </c>
      <c r="C192" s="149">
        <v>6150</v>
      </c>
    </row>
    <row r="193" spans="1:3">
      <c r="A193" s="137"/>
      <c r="B193" s="129" t="s">
        <v>96</v>
      </c>
      <c r="C193" s="167">
        <f>C192/3600</f>
        <v>1.7083333333333333</v>
      </c>
    </row>
    <row r="194" spans="1:3">
      <c r="A194" s="131"/>
    </row>
    <row r="195" spans="1:3">
      <c r="A195" s="137" t="s">
        <v>813</v>
      </c>
    </row>
    <row r="196" spans="1:3">
      <c r="A196" s="131"/>
    </row>
    <row r="197" spans="1:3">
      <c r="A197" s="131" t="s">
        <v>814</v>
      </c>
      <c r="B197" s="129" t="s">
        <v>249</v>
      </c>
      <c r="C197" s="149">
        <v>20</v>
      </c>
    </row>
    <row r="198" spans="1:3">
      <c r="A198" s="131" t="s">
        <v>825</v>
      </c>
      <c r="B198" s="129" t="s">
        <v>125</v>
      </c>
      <c r="C198" s="149">
        <v>400</v>
      </c>
    </row>
    <row r="199" spans="1:3">
      <c r="A199" s="131" t="s">
        <v>815</v>
      </c>
      <c r="B199" s="129" t="s">
        <v>207</v>
      </c>
      <c r="C199" s="121">
        <f>1.3*273.15/(C198+273.15)</f>
        <v>0.52751244150635068</v>
      </c>
    </row>
    <row r="200" spans="1:3">
      <c r="A200" s="131" t="s">
        <v>250</v>
      </c>
      <c r="B200" s="129" t="s">
        <v>113</v>
      </c>
      <c r="C200" s="166">
        <f>SQRT(4*C193/(C199*C197*PI()))*1000</f>
        <v>454.05662370280766</v>
      </c>
    </row>
    <row r="201" spans="1:3">
      <c r="A201" s="131" t="s">
        <v>817</v>
      </c>
      <c r="B201" s="129" t="s">
        <v>113</v>
      </c>
      <c r="C201" s="164">
        <v>75</v>
      </c>
    </row>
    <row r="202" spans="1:3">
      <c r="A202" s="131" t="s">
        <v>818</v>
      </c>
      <c r="B202" s="129" t="s">
        <v>113</v>
      </c>
      <c r="C202" s="164">
        <v>6</v>
      </c>
    </row>
    <row r="203" spans="1:3">
      <c r="A203" s="131" t="s">
        <v>828</v>
      </c>
      <c r="C203" s="166">
        <f>C200+2*C201+2*C202</f>
        <v>616.05662370280766</v>
      </c>
    </row>
    <row r="204" spans="1:3">
      <c r="A204" s="131"/>
    </row>
    <row r="205" spans="1:3">
      <c r="A205" s="137" t="s">
        <v>816</v>
      </c>
    </row>
    <row r="206" spans="1:3">
      <c r="A206" s="131"/>
    </row>
    <row r="207" spans="1:3">
      <c r="A207" s="131" t="s">
        <v>814</v>
      </c>
      <c r="B207" s="129" t="s">
        <v>249</v>
      </c>
      <c r="C207" s="149">
        <v>20</v>
      </c>
    </row>
    <row r="208" spans="1:3">
      <c r="A208" s="131" t="s">
        <v>825</v>
      </c>
      <c r="B208" s="129" t="s">
        <v>125</v>
      </c>
      <c r="C208" s="149">
        <v>220</v>
      </c>
    </row>
    <row r="209" spans="1:3">
      <c r="A209" s="131" t="s">
        <v>815</v>
      </c>
      <c r="B209" s="129" t="s">
        <v>207</v>
      </c>
      <c r="C209" s="121">
        <f>1.3*273.15/(C208+273.15)</f>
        <v>0.72005475007604169</v>
      </c>
    </row>
    <row r="210" spans="1:3">
      <c r="A210" s="131" t="s">
        <v>250</v>
      </c>
      <c r="B210" s="129" t="s">
        <v>113</v>
      </c>
      <c r="C210" s="166">
        <f>SQRT(4*C193/(C209*C207*PI()))*1000</f>
        <v>388.63652044785306</v>
      </c>
    </row>
    <row r="211" spans="1:3">
      <c r="A211" s="131" t="s">
        <v>817</v>
      </c>
      <c r="B211" s="129" t="s">
        <v>113</v>
      </c>
      <c r="C211" s="164">
        <v>50</v>
      </c>
    </row>
    <row r="212" spans="1:3">
      <c r="A212" s="131" t="s">
        <v>818</v>
      </c>
      <c r="B212" s="129" t="s">
        <v>113</v>
      </c>
      <c r="C212" s="164">
        <v>6</v>
      </c>
    </row>
    <row r="213" spans="1:3">
      <c r="A213" s="131" t="s">
        <v>828</v>
      </c>
      <c r="C213" s="166">
        <f>C210+2*C211+2*C212</f>
        <v>500.63652044785306</v>
      </c>
    </row>
    <row r="214" spans="1:3">
      <c r="A214" s="131"/>
    </row>
    <row r="215" spans="1:3">
      <c r="A215" s="137" t="s">
        <v>826</v>
      </c>
      <c r="B215" s="129" t="s">
        <v>95</v>
      </c>
      <c r="C215" s="149">
        <v>6000</v>
      </c>
    </row>
    <row r="216" spans="1:3">
      <c r="A216" s="137"/>
      <c r="B216" s="129" t="s">
        <v>96</v>
      </c>
      <c r="C216" s="167">
        <f>C215/3600</f>
        <v>1.6666666666666667</v>
      </c>
    </row>
    <row r="217" spans="1:3">
      <c r="A217" s="131"/>
    </row>
    <row r="218" spans="1:3">
      <c r="A218" s="137" t="s">
        <v>819</v>
      </c>
    </row>
    <row r="219" spans="1:3">
      <c r="A219" s="131"/>
    </row>
    <row r="220" spans="1:3">
      <c r="A220" s="131" t="s">
        <v>820</v>
      </c>
      <c r="B220" s="129" t="s">
        <v>249</v>
      </c>
      <c r="C220" s="149">
        <v>20</v>
      </c>
    </row>
    <row r="221" spans="1:3">
      <c r="A221" s="131" t="s">
        <v>827</v>
      </c>
      <c r="B221" s="129" t="s">
        <v>125</v>
      </c>
      <c r="C221" s="149">
        <v>50</v>
      </c>
    </row>
    <row r="222" spans="1:3">
      <c r="A222" s="131" t="s">
        <v>821</v>
      </c>
      <c r="B222" s="129" t="s">
        <v>207</v>
      </c>
      <c r="C222" s="121">
        <f>1.29*273.15/(C221+273.15)</f>
        <v>1.0904022899582237</v>
      </c>
    </row>
    <row r="223" spans="1:3">
      <c r="A223" s="131" t="s">
        <v>822</v>
      </c>
      <c r="B223" s="129" t="s">
        <v>113</v>
      </c>
      <c r="C223" s="166">
        <f>SQRT(4*C216/(C222*C220*PI()))*1000</f>
        <v>311.93999355734769</v>
      </c>
    </row>
    <row r="224" spans="1:3">
      <c r="A224" s="131" t="s">
        <v>823</v>
      </c>
      <c r="B224" s="129" t="s">
        <v>113</v>
      </c>
      <c r="C224" s="164">
        <v>50</v>
      </c>
    </row>
    <row r="225" spans="1:3">
      <c r="A225" s="131" t="s">
        <v>818</v>
      </c>
      <c r="B225" s="129" t="s">
        <v>113</v>
      </c>
      <c r="C225" s="164">
        <v>6</v>
      </c>
    </row>
    <row r="226" spans="1:3">
      <c r="A226" s="131" t="s">
        <v>828</v>
      </c>
      <c r="C226" s="166">
        <f>C223+2*C225</f>
        <v>323.93999355734769</v>
      </c>
    </row>
    <row r="227" spans="1:3">
      <c r="A227" s="131"/>
    </row>
    <row r="228" spans="1:3">
      <c r="A228" s="137" t="s">
        <v>824</v>
      </c>
    </row>
    <row r="229" spans="1:3">
      <c r="A229" s="131"/>
    </row>
    <row r="230" spans="1:3">
      <c r="A230" s="131" t="s">
        <v>820</v>
      </c>
      <c r="B230" s="129" t="s">
        <v>249</v>
      </c>
      <c r="C230" s="149">
        <v>20</v>
      </c>
    </row>
    <row r="231" spans="1:3">
      <c r="A231" s="131" t="s">
        <v>827</v>
      </c>
      <c r="B231" s="129" t="s">
        <v>125</v>
      </c>
      <c r="C231" s="149">
        <v>250</v>
      </c>
    </row>
    <row r="232" spans="1:3">
      <c r="A232" s="131" t="s">
        <v>821</v>
      </c>
      <c r="B232" s="129" t="s">
        <v>207</v>
      </c>
      <c r="C232" s="121">
        <f>1.3*273.15/(C231+273.15)</f>
        <v>0.67876326101500528</v>
      </c>
    </row>
    <row r="233" spans="1:3">
      <c r="A233" s="131" t="s">
        <v>822</v>
      </c>
      <c r="B233" s="129" t="s">
        <v>113</v>
      </c>
      <c r="C233" s="166">
        <f>SQRT(4*C216/(C232*C230*PI()))*1000</f>
        <v>395.37142003652929</v>
      </c>
    </row>
    <row r="234" spans="1:3">
      <c r="A234" s="131" t="s">
        <v>823</v>
      </c>
      <c r="B234" s="129" t="s">
        <v>113</v>
      </c>
      <c r="C234" s="164">
        <v>50</v>
      </c>
    </row>
    <row r="235" spans="1:3">
      <c r="A235" s="131" t="s">
        <v>818</v>
      </c>
      <c r="B235" s="129" t="s">
        <v>113</v>
      </c>
      <c r="C235" s="164">
        <v>6</v>
      </c>
    </row>
    <row r="236" spans="1:3">
      <c r="A236" s="131" t="s">
        <v>828</v>
      </c>
      <c r="C236" s="166">
        <f>C233+2*C235</f>
        <v>407.37142003652929</v>
      </c>
    </row>
    <row r="237" spans="1:3">
      <c r="A237" s="131"/>
    </row>
    <row r="238" spans="1:3">
      <c r="A238" s="131"/>
    </row>
    <row r="239" spans="1:3">
      <c r="A239" s="131"/>
    </row>
    <row r="240" spans="1:3">
      <c r="A240" s="131" t="s">
        <v>829</v>
      </c>
    </row>
    <row r="241" spans="1:1">
      <c r="A241" s="131"/>
    </row>
    <row r="242" spans="1:1">
      <c r="A242" s="131"/>
    </row>
  </sheetData>
  <conditionalFormatting sqref="C17">
    <cfRule type="cellIs" dxfId="19" priority="3" operator="lessThanOrEqual">
      <formula>40</formula>
    </cfRule>
  </conditionalFormatting>
  <conditionalFormatting sqref="B103">
    <cfRule type="cellIs" dxfId="18" priority="1" operator="equal">
      <formula>9999999</formula>
    </cfRule>
  </conditionalFormatting>
  <pageMargins left="0.70866141732283472" right="0.70866141732283472" top="0.74803149606299213" bottom="0.74803149606299213" header="0.31496062992125984" footer="0.31496062992125984"/>
  <pageSetup paperSize="9" scale="80" fitToHeight="0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9"/>
  <dimension ref="A1:G215"/>
  <sheetViews>
    <sheetView topLeftCell="A73" workbookViewId="0">
      <selection activeCell="G194" sqref="G194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2.570312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1.3</v>
      </c>
    </row>
    <row r="6" spans="1:7">
      <c r="A6" s="131" t="s">
        <v>652</v>
      </c>
      <c r="B6" s="129" t="s">
        <v>125</v>
      </c>
      <c r="C6" s="102">
        <v>1.3</v>
      </c>
    </row>
    <row r="7" spans="1:7">
      <c r="A7" s="131" t="s">
        <v>651</v>
      </c>
      <c r="B7" s="129" t="s">
        <v>125</v>
      </c>
      <c r="C7" s="102">
        <v>250</v>
      </c>
      <c r="D7" s="167">
        <f>C166</f>
        <v>241.28910524425646</v>
      </c>
      <c r="E7" s="167">
        <f>C7-D7</f>
        <v>8.7108947557435386</v>
      </c>
    </row>
    <row r="8" spans="1:7">
      <c r="A8" s="131" t="s">
        <v>503</v>
      </c>
      <c r="B8" s="129" t="s">
        <v>125</v>
      </c>
      <c r="C8" s="130">
        <f>C7</f>
        <v>250</v>
      </c>
      <c r="E8" s="21" t="s">
        <v>799</v>
      </c>
      <c r="F8" s="154">
        <f>C92</f>
        <v>308.84082810081674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250</v>
      </c>
    </row>
    <row r="10" spans="1:7">
      <c r="A10" s="131" t="s">
        <v>654</v>
      </c>
      <c r="B10" s="129" t="s">
        <v>125</v>
      </c>
      <c r="C10" s="130">
        <f>C6</f>
        <v>1.3</v>
      </c>
    </row>
    <row r="11" spans="1:7">
      <c r="A11" s="131" t="s">
        <v>681</v>
      </c>
      <c r="B11" s="129" t="s">
        <v>125</v>
      </c>
      <c r="C11" s="130">
        <f>0.5*(C7+C6)</f>
        <v>125.65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390</v>
      </c>
      <c r="D14" s="154">
        <f>f_b_000_Interpolate(D81,Fuel!E159:E183,Fuel!A159:A183)</f>
        <v>390.76851649084142</v>
      </c>
      <c r="E14" s="160">
        <f>C14-D14</f>
        <v>-0.76851649084142082</v>
      </c>
    </row>
    <row r="15" spans="1:7" ht="30">
      <c r="A15" s="131" t="s">
        <v>640</v>
      </c>
      <c r="B15" s="129" t="s">
        <v>125</v>
      </c>
      <c r="C15" s="102">
        <v>180</v>
      </c>
      <c r="D15" s="167">
        <f>C164</f>
        <v>181.41971084896866</v>
      </c>
      <c r="E15" s="167">
        <f>C15-D15</f>
        <v>-1.4197108489686627</v>
      </c>
    </row>
    <row r="16" spans="1:7">
      <c r="A16" s="131"/>
      <c r="C16" s="134"/>
      <c r="E16" s="21" t="s">
        <v>800</v>
      </c>
      <c r="F16" s="154">
        <f>C86</f>
        <v>307.69175180357405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140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>
      <c r="A19" s="153" t="s">
        <v>657</v>
      </c>
      <c r="C19" s="134"/>
    </row>
    <row r="20" spans="1:5" s="150" customFormat="1">
      <c r="A20" s="152" t="s">
        <v>658</v>
      </c>
      <c r="C20" s="130">
        <f>C28-C27+C31</f>
        <v>1.18</v>
      </c>
    </row>
    <row r="21" spans="1:5" s="150" customFormat="1">
      <c r="A21" s="152" t="s">
        <v>634</v>
      </c>
      <c r="C21" s="130">
        <f>C20-C31</f>
        <v>1.1499999999999999</v>
      </c>
    </row>
    <row r="22" spans="1:5" s="150" customFormat="1">
      <c r="A22" s="152" t="s">
        <v>659</v>
      </c>
      <c r="C22" s="155">
        <f>C20*(C6-C5)/(C7-C6)</f>
        <v>0</v>
      </c>
    </row>
    <row r="23" spans="1:5" s="150" customFormat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>
      <c r="A26" s="131" t="s">
        <v>497</v>
      </c>
      <c r="C26" s="130">
        <f>Fuel!B79</f>
        <v>1.1499999999999999</v>
      </c>
    </row>
    <row r="27" spans="1:5">
      <c r="A27" s="131" t="s">
        <v>498</v>
      </c>
      <c r="C27" s="130">
        <f>Fuel!B75</f>
        <v>0.05</v>
      </c>
    </row>
    <row r="28" spans="1:5">
      <c r="A28" s="131" t="s">
        <v>127</v>
      </c>
      <c r="C28" s="130">
        <f>C26+C27</f>
        <v>1.2</v>
      </c>
    </row>
    <row r="29" spans="1:5">
      <c r="A29" s="131" t="s">
        <v>549</v>
      </c>
      <c r="C29" s="130">
        <v>0</v>
      </c>
    </row>
    <row r="30" spans="1:5" ht="30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0.91475336652078854</v>
      </c>
      <c r="D34" s="147">
        <f>C73*Fuel!B88*C26</f>
        <v>0.91475336652078854</v>
      </c>
    </row>
    <row r="35" spans="1:4">
      <c r="A35" s="62"/>
      <c r="B35" s="129" t="s">
        <v>642</v>
      </c>
      <c r="C35" s="139">
        <f>D35</f>
        <v>3293.1121194748389</v>
      </c>
      <c r="D35" s="148">
        <f>D34*3600</f>
        <v>3293.1121194748389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1.0617851980535338</v>
      </c>
      <c r="D49" s="154">
        <f>C73*Fuel!E107</f>
        <v>1.0617851980535338</v>
      </c>
    </row>
    <row r="50" spans="1:4">
      <c r="A50" s="62"/>
      <c r="B50" s="129" t="s">
        <v>642</v>
      </c>
      <c r="C50" s="139">
        <f>D50</f>
        <v>3822.4267129927216</v>
      </c>
      <c r="D50" s="148">
        <f>D49*3600</f>
        <v>3822.4267129927216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3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60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73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113.85628434782609</v>
      </c>
      <c r="D61" s="173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19.289578271600003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19.289578271600003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3745.8748600000008</v>
      </c>
    </row>
    <row r="65" spans="1:3" ht="30">
      <c r="A65" s="131" t="s">
        <v>501</v>
      </c>
      <c r="B65" s="129" t="s">
        <v>210</v>
      </c>
      <c r="C65" s="116">
        <f>C26*(C64-C62)</f>
        <v>4285.5730739876608</v>
      </c>
    </row>
    <row r="66" spans="1:3" ht="30">
      <c r="A66" s="131" t="s">
        <v>144</v>
      </c>
      <c r="B66" s="129" t="s">
        <v>210</v>
      </c>
      <c r="C66" s="116">
        <f>C58+C61+C65</f>
        <v>47075.393358335496</v>
      </c>
    </row>
    <row r="67" spans="1:3" ht="30">
      <c r="A67" s="131" t="s">
        <v>143</v>
      </c>
      <c r="B67" s="129" t="s">
        <v>502</v>
      </c>
      <c r="C67" s="102">
        <v>2.5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3750.298955663081</v>
      </c>
    </row>
    <row r="71" spans="1:3">
      <c r="A71" s="131" t="s">
        <v>140</v>
      </c>
      <c r="B71" s="129" t="s">
        <v>502</v>
      </c>
      <c r="C71" s="116">
        <f>(C70-C32*C62)*(100-C68)/C66</f>
        <v>7.9161797884991234</v>
      </c>
    </row>
    <row r="72" spans="1:3">
      <c r="A72" s="131" t="s">
        <v>139</v>
      </c>
      <c r="B72" s="129" t="s">
        <v>502</v>
      </c>
      <c r="C72" s="116">
        <f>100-C71-C69-C68-C67</f>
        <v>89.583820211500878</v>
      </c>
    </row>
    <row r="73" spans="1:3">
      <c r="A73" s="131" t="s">
        <v>138</v>
      </c>
      <c r="B73" s="129" t="s">
        <v>508</v>
      </c>
      <c r="C73" s="132">
        <f>C57*1000*100/C66/C72</f>
        <v>7.1137355842169209E-2</v>
      </c>
    </row>
    <row r="74" spans="1:3">
      <c r="A74" s="131"/>
      <c r="B74" s="129" t="s">
        <v>215</v>
      </c>
      <c r="C74" s="133">
        <f>C73*3600</f>
        <v>256.09448103180915</v>
      </c>
    </row>
    <row r="75" spans="1:3">
      <c r="A75" s="131"/>
      <c r="B75" s="129" t="s">
        <v>96</v>
      </c>
      <c r="C75" s="132">
        <f>C73*Fuel!B39</f>
        <v>6.4819085284715014E-2</v>
      </c>
    </row>
    <row r="76" spans="1:3">
      <c r="A76" s="131"/>
      <c r="B76" s="129" t="s">
        <v>95</v>
      </c>
      <c r="C76" s="133">
        <f>C75*3600</f>
        <v>233.34870702497406</v>
      </c>
    </row>
    <row r="77" spans="1:3">
      <c r="A77" s="131" t="s">
        <v>128</v>
      </c>
      <c r="C77" s="132">
        <f>1-(C67/(C67+C72))</f>
        <v>0.97285082228063602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210</v>
      </c>
      <c r="C81" s="116">
        <f>f_b_000_Interpolate(C14,Fuel!A159:A183,Fuel!E159:E183)</f>
        <v>8140.2537764877225</v>
      </c>
      <c r="D81" s="154">
        <f>C91/C77+C82-C31*C83</f>
        <v>8156.8574772365355</v>
      </c>
      <c r="E81" s="150"/>
    </row>
    <row r="82" spans="1:5">
      <c r="A82" s="131" t="s">
        <v>676</v>
      </c>
      <c r="B82" s="129" t="s">
        <v>210</v>
      </c>
      <c r="C82" s="116">
        <f>f_b_000_Interpolate(C15,Fuel!A159:A183,Fuel!F159:F183)</f>
        <v>3750.298955663081</v>
      </c>
    </row>
    <row r="83" spans="1:5">
      <c r="A83" s="131" t="s">
        <v>682</v>
      </c>
      <c r="B83" s="129" t="s">
        <v>210</v>
      </c>
      <c r="C83" s="116">
        <f>f_b_000_Interpolate(C11,Fuel!A159:A183,Fuel!B159:B183)</f>
        <v>1869.0009068822003</v>
      </c>
    </row>
    <row r="84" spans="1:5">
      <c r="A84" s="131"/>
      <c r="C84" s="20"/>
    </row>
    <row r="85" spans="1:5">
      <c r="A85" s="131" t="s">
        <v>677</v>
      </c>
      <c r="B85" s="129" t="s">
        <v>210</v>
      </c>
      <c r="C85" s="116">
        <f>C77*(C81-C82+C31*C83)</f>
        <v>4325.318929287203</v>
      </c>
    </row>
    <row r="86" spans="1:5">
      <c r="A86" s="131"/>
      <c r="B86" s="129" t="s">
        <v>678</v>
      </c>
      <c r="C86" s="42">
        <f>C85*C73</f>
        <v>307.69175180357405</v>
      </c>
    </row>
    <row r="87" spans="1:5">
      <c r="A87" s="131"/>
      <c r="C87" s="20"/>
    </row>
    <row r="88" spans="1:5">
      <c r="A88" s="131" t="s">
        <v>637</v>
      </c>
      <c r="B88" s="129" t="s">
        <v>210</v>
      </c>
      <c r="C88" s="116">
        <f>f_b_000_Interpolate(C6,Fuel!A159:A183,Fuel!B159:B183)</f>
        <v>19.289578271600003</v>
      </c>
    </row>
    <row r="89" spans="1:5">
      <c r="A89" s="131" t="s">
        <v>679</v>
      </c>
      <c r="B89" s="129" t="s">
        <v>210</v>
      </c>
      <c r="C89" s="116">
        <f>f_b_000_Interpolate(C7,Fuel!A159:A183,Fuel!B159:B183)</f>
        <v>3745.8748600000008</v>
      </c>
    </row>
    <row r="90" spans="1:5">
      <c r="A90" s="131"/>
      <c r="C90" s="20"/>
    </row>
    <row r="91" spans="1:5">
      <c r="A91" s="131" t="s">
        <v>680</v>
      </c>
      <c r="B91" s="129" t="s">
        <v>210</v>
      </c>
      <c r="C91" s="116">
        <f>C23*(C89-C88)</f>
        <v>4341.4718532135867</v>
      </c>
    </row>
    <row r="92" spans="1:5">
      <c r="A92" s="131"/>
      <c r="B92" s="129" t="s">
        <v>678</v>
      </c>
      <c r="C92" s="42">
        <f>C91*C73</f>
        <v>308.84082810081674</v>
      </c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65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55</v>
      </c>
      <c r="F102" s="148">
        <f>f_b_004_f_10_s2MinAH(E96,E100,E101)</f>
        <v>52.799147720394124</v>
      </c>
    </row>
    <row r="103" spans="1:6">
      <c r="A103" s="131"/>
      <c r="B103" s="163">
        <f>C140</f>
        <v>14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109.8458969786641</v>
      </c>
    </row>
    <row r="106" spans="1:6">
      <c r="A106" s="129" t="s">
        <v>683</v>
      </c>
      <c r="B106" s="129" t="s">
        <v>249</v>
      </c>
      <c r="C106" s="149">
        <v>7</v>
      </c>
      <c r="D106" s="129" t="s">
        <v>686</v>
      </c>
    </row>
    <row r="107" spans="1:6" ht="30">
      <c r="A107" s="131" t="s">
        <v>684</v>
      </c>
      <c r="B107" s="129" t="s">
        <v>249</v>
      </c>
      <c r="C107" s="149">
        <v>14</v>
      </c>
      <c r="D107" s="129" t="s">
        <v>685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2.1</v>
      </c>
      <c r="D111" s="162"/>
      <c r="E111" s="149">
        <v>1</v>
      </c>
    </row>
    <row r="112" spans="1:6">
      <c r="A112" s="131" t="s">
        <v>627</v>
      </c>
      <c r="B112" s="129" t="s">
        <v>377</v>
      </c>
      <c r="C112" s="149">
        <v>4</v>
      </c>
      <c r="D112" s="154">
        <f>C160</f>
        <v>4.1474272783182951</v>
      </c>
      <c r="E112" s="149">
        <v>6</v>
      </c>
      <c r="F112" s="154">
        <f>E160</f>
        <v>10.137271843316773</v>
      </c>
    </row>
    <row r="113" spans="1:6">
      <c r="A113" s="131" t="s">
        <v>802</v>
      </c>
      <c r="C113" s="156">
        <f>IF(C112&lt;=5,C112,5)</f>
        <v>4</v>
      </c>
      <c r="D113" s="160"/>
      <c r="E113" s="156">
        <f>IF(E112&lt;=5,E112,5)</f>
        <v>5</v>
      </c>
      <c r="F113" s="160"/>
    </row>
    <row r="114" spans="1:6">
      <c r="A114" s="131" t="s">
        <v>725</v>
      </c>
      <c r="B114" s="129" t="s">
        <v>152</v>
      </c>
      <c r="C114" s="156">
        <f>C111*C112</f>
        <v>8.4</v>
      </c>
      <c r="D114" s="154">
        <f>C161</f>
        <v>8.8074579281141325</v>
      </c>
      <c r="E114" s="156">
        <f>E111*E112</f>
        <v>6</v>
      </c>
      <c r="F114" s="154">
        <f>E161</f>
        <v>10.137271843316771</v>
      </c>
    </row>
    <row r="115" spans="1:6">
      <c r="A115" s="131"/>
    </row>
    <row r="116" spans="1:6" ht="30">
      <c r="A116" s="131" t="s">
        <v>688</v>
      </c>
      <c r="B116" s="151">
        <f>C118*C117</f>
        <v>90</v>
      </c>
      <c r="C116" s="156">
        <f>f_b_004_f_11_nTubeAH(C50/3600,0.5*(C14+C15),C96/1000,C97/1000,C107)</f>
        <v>89</v>
      </c>
      <c r="D116" s="151">
        <f>f_b_004_f_11_nTubeAH(C50/3600,0.5*(C14+C15),E96/1000,E97/1000,C107)</f>
        <v>89</v>
      </c>
      <c r="E116" s="156">
        <f>E117*E118</f>
        <v>120</v>
      </c>
    </row>
    <row r="117" spans="1:6">
      <c r="A117" s="131" t="s">
        <v>689</v>
      </c>
      <c r="C117" s="156">
        <f>f_b_004_f_12_z1AH(C35/3600,0.5*(C6+C7),C96/1000,C101/1000,C111,C106)</f>
        <v>6</v>
      </c>
      <c r="D117" s="151">
        <f>f_b_004_f_12_z1AH(C35/3600,0.5*(C6+C7),E96/1000,E101/1000,E111,C106)</f>
        <v>13</v>
      </c>
      <c r="E117" s="149">
        <v>20</v>
      </c>
    </row>
    <row r="118" spans="1:6">
      <c r="A118" s="131" t="s">
        <v>690</v>
      </c>
      <c r="C118" s="156">
        <f>ROUND(C116/C117,0)</f>
        <v>15</v>
      </c>
      <c r="E118" s="149">
        <v>6</v>
      </c>
      <c r="F118" s="148">
        <f>D116/E117</f>
        <v>4.45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0.50749999999999995</v>
      </c>
      <c r="E120" s="121">
        <f>(E101*(E117-1)+(0.5*E96+E109)*2+E101/2)/1000</f>
        <v>1.4175</v>
      </c>
    </row>
    <row r="121" spans="1:6">
      <c r="A121" s="131" t="s">
        <v>693</v>
      </c>
      <c r="B121" s="129" t="s">
        <v>152</v>
      </c>
      <c r="C121" s="121">
        <f>(C102*(C118-1)+2*(C96/2+C109))/1000</f>
        <v>0.92</v>
      </c>
      <c r="E121" s="121">
        <f>(E102*(E118-1)+2*(E96/2+E109))/1000</f>
        <v>0.42499999999999999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29.688050576423546</v>
      </c>
      <c r="E123" s="124">
        <f>PI()*(E96)/1000*E116*E111</f>
        <v>18.849555921538759</v>
      </c>
    </row>
    <row r="124" spans="1:6">
      <c r="A124" s="131" t="s">
        <v>695</v>
      </c>
      <c r="B124" s="129" t="s">
        <v>352</v>
      </c>
      <c r="C124" s="124">
        <f>C123*C112</f>
        <v>118.75220230569418</v>
      </c>
      <c r="D124" s="158">
        <f>C159</f>
        <v>123.12903080075219</v>
      </c>
      <c r="E124" s="124">
        <f>E123*E112</f>
        <v>113.09733552923255</v>
      </c>
      <c r="F124" s="158">
        <f>E159</f>
        <v>191.08307250243979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1398.3071821495489</v>
      </c>
      <c r="D126" s="160"/>
      <c r="E126" s="124">
        <f>7850*E124*E97/1000</f>
        <v>1331.7211258567133</v>
      </c>
      <c r="F126" s="160"/>
    </row>
    <row r="127" spans="1:6">
      <c r="A127" s="131" t="s">
        <v>729</v>
      </c>
      <c r="C127" s="168">
        <f>C120*C121*7850*16/1000*2</f>
        <v>117.28528</v>
      </c>
      <c r="D127" s="168"/>
      <c r="E127" s="168">
        <f>E120*E121*7850*16/1000*2</f>
        <v>151.33229999999998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1398.3071821495489</v>
      </c>
      <c r="D129" s="160"/>
      <c r="E129" s="124">
        <f>E126</f>
        <v>1331.7211258567133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1.3*273.15/(0.5*(C14+C15)+273.15)</f>
        <v>0.63619994625100773</v>
      </c>
    </row>
    <row r="135" spans="1:6">
      <c r="A135" s="157" t="s">
        <v>708</v>
      </c>
      <c r="B135" s="129" t="s">
        <v>721</v>
      </c>
      <c r="C135" s="121">
        <f>f_b_004_f_29_LambdaProductCombation(Fuel!E114,0.5*(C14+C15))</f>
        <v>4.7774361250000008E-2</v>
      </c>
    </row>
    <row r="136" spans="1:6" ht="30">
      <c r="A136" s="157" t="s">
        <v>709</v>
      </c>
      <c r="B136" s="129" t="s">
        <v>710</v>
      </c>
      <c r="C136" s="165">
        <f>f_b_004_f_25_NuProductCombation(Fuel!E114,0.5*(C14+C15))</f>
        <v>4.2103704923728744E-5</v>
      </c>
    </row>
    <row r="137" spans="1:6">
      <c r="A137" s="137" t="s">
        <v>711</v>
      </c>
      <c r="C137" s="166">
        <f>f_b_004_f_20_Reynolds(C140,C96/1000,C136)</f>
        <v>16625.615281791866</v>
      </c>
      <c r="E137" s="166">
        <f>f_b_004_f_20_Reynolds(E140,E96/1000,C136)</f>
        <v>11875.43948699419</v>
      </c>
    </row>
    <row r="138" spans="1:6">
      <c r="A138" s="137" t="s">
        <v>712</v>
      </c>
      <c r="C138" s="121">
        <f>f_b_004_f_27_PrProductCombation(Fuel!E114,0.5*(C14+C15))</f>
        <v>0.67455012883640031</v>
      </c>
    </row>
    <row r="139" spans="1:6">
      <c r="A139" s="137" t="s">
        <v>713</v>
      </c>
      <c r="C139" s="166">
        <f>C137*C138</f>
        <v>11214.81093031713</v>
      </c>
      <c r="E139" s="166">
        <f>E137*C138</f>
        <v>8010.579235940806</v>
      </c>
    </row>
    <row r="140" spans="1:6">
      <c r="A140" s="157" t="s">
        <v>706</v>
      </c>
      <c r="B140" s="129" t="s">
        <v>249</v>
      </c>
      <c r="C140" s="122">
        <f>f_b_004_f_13_w1AH(C96/1000,C97/1000,C117,C118,C50/3600,0.5*(C14+C15))</f>
        <v>14</v>
      </c>
      <c r="E140" s="122">
        <f>f_b_004_f_13_w1AH(E96/1000,E97/1000,E117,E118,C50/3600,0.5*(C14+C15))</f>
        <v>10</v>
      </c>
    </row>
    <row r="141" spans="1:6" ht="30">
      <c r="A141" s="137" t="s">
        <v>714</v>
      </c>
      <c r="B141" s="142" t="s">
        <v>614</v>
      </c>
      <c r="C141" s="161">
        <f>f_b_004_f_17_Alfa02(C137,C138,(C96-2*C97)/1000,C111,C98/C96,C135)</f>
        <v>37.698185732678446</v>
      </c>
      <c r="E141" s="161">
        <f>f_b_004_f_17_Alfa02(E137,C138,(E96-2*E97)/1000,E111,E98/E96,C135)</f>
        <v>27.555937463029665</v>
      </c>
    </row>
    <row r="142" spans="1:6">
      <c r="A142" s="137"/>
    </row>
    <row r="143" spans="1:6">
      <c r="A143" s="137" t="s">
        <v>705</v>
      </c>
    </row>
    <row r="144" spans="1:6">
      <c r="A144" s="131" t="s">
        <v>716</v>
      </c>
      <c r="B144" s="129" t="s">
        <v>207</v>
      </c>
      <c r="C144" s="121">
        <f>1.29*273.15/(0.5*(C6+C7)+273.15)</f>
        <v>0.88355942828485468</v>
      </c>
    </row>
    <row r="145" spans="1:6">
      <c r="A145" s="131" t="s">
        <v>717</v>
      </c>
      <c r="B145" s="129" t="s">
        <v>721</v>
      </c>
      <c r="C145" s="121">
        <f>f_b_004_f_30_LambdaAir(0.5*(C6+C7))</f>
        <v>3.3621150000000002E-2</v>
      </c>
    </row>
    <row r="146" spans="1:6">
      <c r="A146" s="131" t="s">
        <v>718</v>
      </c>
      <c r="B146" s="129" t="s">
        <v>710</v>
      </c>
      <c r="C146" s="165">
        <f>f_b_004_f_26_NuAir(0.5*(C6+C7))</f>
        <v>2.6526699999999998E-5</v>
      </c>
    </row>
    <row r="147" spans="1:6">
      <c r="A147" s="137" t="s">
        <v>711</v>
      </c>
      <c r="C147" s="166">
        <f>f_b_004_f_20_Reynolds(C150,(C96-2*C97)/1000,C146)</f>
        <v>12520.186242058964</v>
      </c>
      <c r="E147" s="166">
        <f>f_b_004_f_20_Reynolds(E150,(E96-2*E97)/1000,C146)</f>
        <v>7887.7173324971473</v>
      </c>
    </row>
    <row r="148" spans="1:6">
      <c r="A148" s="137" t="s">
        <v>712</v>
      </c>
      <c r="C148" s="156">
        <f>f_b_004_f_28_PrAir(0.5*(C6+C7))</f>
        <v>0.69</v>
      </c>
    </row>
    <row r="149" spans="1:6">
      <c r="A149" s="137" t="s">
        <v>713</v>
      </c>
      <c r="C149" s="166">
        <f>C147*C148</f>
        <v>8638.9285070206843</v>
      </c>
      <c r="E149" s="166">
        <f>E147*C148</f>
        <v>5442.5249594230309</v>
      </c>
    </row>
    <row r="150" spans="1:6">
      <c r="A150" s="131" t="s">
        <v>719</v>
      </c>
      <c r="B150" s="129" t="s">
        <v>249</v>
      </c>
      <c r="C150" s="122">
        <f>f_b_004_f_14_w2AH(0,C96/1000,C101/1000,C102/1000,C111,C117,C35/3600,0.5*(C6+C7))</f>
        <v>7.0663664763239469</v>
      </c>
      <c r="E150" s="122">
        <f>f_b_004_f_14_w2AH(0,E96/1000,E101/1000,E102/1000,E111,E117,C35/3600,0.5*(C6+C7))</f>
        <v>4.4518108800840865</v>
      </c>
    </row>
    <row r="151" spans="1:6" ht="30">
      <c r="A151" s="137" t="s">
        <v>801</v>
      </c>
      <c r="B151" s="142" t="s">
        <v>715</v>
      </c>
      <c r="C151" s="161">
        <f>f_b_004_f_16_Alfa01(C147,C148,C96/1000,C101/1000,C102/1000,C118,C145)</f>
        <v>58.940109057326339</v>
      </c>
      <c r="E151" s="161">
        <f>f_b_004_f_16_Alfa01(E147,C148,E96/1000,E101/1000,E102/1000,E118,C145)</f>
        <v>40.757623796174819</v>
      </c>
    </row>
    <row r="152" spans="1:6">
      <c r="A152" s="131"/>
    </row>
    <row r="153" spans="1:6">
      <c r="A153" s="131" t="s">
        <v>703</v>
      </c>
      <c r="C153" s="149">
        <v>0.8</v>
      </c>
      <c r="E153" s="149">
        <v>0.8</v>
      </c>
    </row>
    <row r="154" spans="1:6">
      <c r="A154" s="137" t="s">
        <v>701</v>
      </c>
      <c r="B154" s="142" t="s">
        <v>702</v>
      </c>
      <c r="C154" s="161">
        <f>C153*C141/(1+C141/C151)</f>
        <v>18.393827690570753</v>
      </c>
      <c r="E154" s="161">
        <f>E153*E141/(1+E141/E151)</f>
        <v>13.152463572585376</v>
      </c>
    </row>
    <row r="155" spans="1:6">
      <c r="A155" s="131" t="s">
        <v>699</v>
      </c>
      <c r="C155" s="129" t="s">
        <v>700</v>
      </c>
    </row>
    <row r="156" spans="1:6" ht="30">
      <c r="A156" s="137" t="s">
        <v>698</v>
      </c>
      <c r="B156" s="142" t="s">
        <v>125</v>
      </c>
      <c r="C156" s="161">
        <f>f_b_004_f_33_dtlogAH(0,C113,C14,C15,C6,C7)</f>
        <v>136.36475404413281</v>
      </c>
      <c r="E156" s="161">
        <f>f_b_004_f_33_dtlogAH(0,E113,C14,C15,C6,C7)</f>
        <v>122.88684230721272</v>
      </c>
    </row>
    <row r="157" spans="1:6">
      <c r="A157" s="137" t="s">
        <v>704</v>
      </c>
      <c r="B157" s="142" t="s">
        <v>678</v>
      </c>
      <c r="C157" s="161">
        <f>C154*C156*C124/1000</f>
        <v>297.86256141522603</v>
      </c>
      <c r="D157" s="150"/>
      <c r="E157" s="161">
        <f>E154*E156*E124/1000</f>
        <v>182.7952330021181</v>
      </c>
    </row>
    <row r="158" spans="1:6">
      <c r="A158" s="131" t="s">
        <v>696</v>
      </c>
      <c r="B158" s="129" t="s">
        <v>678</v>
      </c>
      <c r="C158" s="124">
        <f>C92</f>
        <v>308.84082810081674</v>
      </c>
      <c r="E158" s="124">
        <f>C92</f>
        <v>308.84082810081674</v>
      </c>
    </row>
    <row r="159" spans="1:6">
      <c r="A159" s="131" t="s">
        <v>697</v>
      </c>
      <c r="B159" s="129" t="s">
        <v>352</v>
      </c>
      <c r="C159" s="124">
        <f>C158/C154/C156*1000</f>
        <v>123.12903080075219</v>
      </c>
      <c r="D159" s="154">
        <f>C124</f>
        <v>118.75220230569418</v>
      </c>
      <c r="E159" s="124">
        <f>E158/E154/E156*1000</f>
        <v>191.08307250243979</v>
      </c>
      <c r="F159" s="154">
        <f>E124</f>
        <v>113.09733552923255</v>
      </c>
    </row>
    <row r="160" spans="1:6">
      <c r="A160" s="131" t="s">
        <v>723</v>
      </c>
      <c r="C160" s="124">
        <f>C159/C123</f>
        <v>4.1474272783182951</v>
      </c>
      <c r="E160" s="124">
        <f>E159/E123</f>
        <v>10.137271843316773</v>
      </c>
    </row>
    <row r="161" spans="1:5">
      <c r="A161" s="131" t="s">
        <v>724</v>
      </c>
      <c r="B161" s="129" t="s">
        <v>152</v>
      </c>
      <c r="C161" s="121">
        <f>C159*1000/PI()/C96/C116</f>
        <v>8.8074579281141325</v>
      </c>
      <c r="E161" s="121">
        <f>E159*1000/PI()/E96/E116</f>
        <v>10.137271843316771</v>
      </c>
    </row>
    <row r="162" spans="1:5">
      <c r="A162" s="131"/>
    </row>
    <row r="163" spans="1:5">
      <c r="A163" s="131" t="s">
        <v>733</v>
      </c>
      <c r="B163" s="129" t="s">
        <v>210</v>
      </c>
      <c r="C163" s="167">
        <f>C81-C157/C73/C77-C31*C83</f>
        <v>3780.1868381267986</v>
      </c>
      <c r="E163" s="167">
        <f>C81-E157/C73/C77-C31*C83</f>
        <v>5442.8644962780872</v>
      </c>
    </row>
    <row r="164" spans="1:5">
      <c r="A164" s="131" t="s">
        <v>732</v>
      </c>
      <c r="B164" s="129" t="s">
        <v>125</v>
      </c>
      <c r="C164" s="167">
        <f>f_b_000_Interpolate(C163,Fuel!F159:F183,Fuel!A159:A183)</f>
        <v>181.41971084896866</v>
      </c>
      <c r="E164" s="167">
        <f>f_b_000_Interpolate(E163,Fuel!F159:F183,Fuel!A159:A183)</f>
        <v>258.87606739163084</v>
      </c>
    </row>
    <row r="165" spans="1:5">
      <c r="A165" s="131" t="s">
        <v>734</v>
      </c>
      <c r="B165" s="129" t="s">
        <v>210</v>
      </c>
      <c r="C165" s="167">
        <f>C157/C73/C23+C88</f>
        <v>3613.4071182801258</v>
      </c>
      <c r="E165" s="167">
        <f>E157/C73/C23+C88</f>
        <v>2224.9630608379603</v>
      </c>
    </row>
    <row r="166" spans="1:5">
      <c r="A166" s="131" t="s">
        <v>735</v>
      </c>
      <c r="B166" s="129" t="s">
        <v>125</v>
      </c>
      <c r="C166" s="167">
        <f>f_b_000_Interpolate(C165,Fuel!B159:B183,Fuel!A159:A183)</f>
        <v>241.28910524425646</v>
      </c>
      <c r="E166" s="167">
        <f>f_b_000_Interpolate(E165,Fuel!B159:B183,Fuel!A159:A183)</f>
        <v>149.35387541102506</v>
      </c>
    </row>
    <row r="167" spans="1:5">
      <c r="A167" s="131"/>
      <c r="C167" s="167"/>
      <c r="E167" s="167"/>
    </row>
    <row r="168" spans="1:5">
      <c r="A168" s="62" t="s">
        <v>738</v>
      </c>
      <c r="C168" s="167"/>
      <c r="E168" s="167"/>
    </row>
    <row r="169" spans="1:5">
      <c r="A169" s="131"/>
      <c r="C169" s="167"/>
      <c r="E169" s="167"/>
    </row>
    <row r="170" spans="1:5">
      <c r="A170" s="131" t="s">
        <v>739</v>
      </c>
      <c r="B170" s="129" t="s">
        <v>740</v>
      </c>
      <c r="C170" s="167">
        <f>f_b_004_f_24_KLUniversal((C96)/1000,(C96-2*C97)/1000,C151,C141,45)</f>
        <v>3.4736449670972851</v>
      </c>
      <c r="D170" s="167"/>
      <c r="E170" s="167"/>
    </row>
    <row r="171" spans="1:5">
      <c r="A171" s="131" t="s">
        <v>741</v>
      </c>
      <c r="B171" s="129" t="s">
        <v>125</v>
      </c>
      <c r="C171" s="167">
        <f>C15-C6</f>
        <v>178.7</v>
      </c>
      <c r="E171" s="167"/>
    </row>
    <row r="172" spans="1:5">
      <c r="A172" s="131" t="s">
        <v>742</v>
      </c>
      <c r="B172" s="129" t="s">
        <v>743</v>
      </c>
      <c r="C172" s="167">
        <f>C170*C171</f>
        <v>620.74035562028484</v>
      </c>
      <c r="E172" s="167"/>
    </row>
    <row r="173" spans="1:5">
      <c r="A173" s="131" t="s">
        <v>744</v>
      </c>
      <c r="B173" s="129" t="s">
        <v>125</v>
      </c>
      <c r="C173" s="167">
        <f>C15-C172/(PI()*(C96-C97*2)/1000*C141)</f>
        <v>68.482814447486334</v>
      </c>
      <c r="E173" s="167"/>
    </row>
    <row r="174" spans="1:5">
      <c r="A174" s="131" t="s">
        <v>745</v>
      </c>
      <c r="B174" s="129" t="s">
        <v>125</v>
      </c>
      <c r="C174" s="167">
        <f>C6+C172/(PI()*(C96)/1000*C151)</f>
        <v>68.346971954191929</v>
      </c>
      <c r="E174" s="167"/>
    </row>
    <row r="175" spans="1:5" ht="30">
      <c r="A175" s="131" t="s">
        <v>746</v>
      </c>
      <c r="B175" s="129" t="s">
        <v>125</v>
      </c>
      <c r="C175" s="167">
        <v>180</v>
      </c>
      <c r="D175" s="129">
        <f>C6+0.5*(C15-C6)</f>
        <v>90.649999999999991</v>
      </c>
      <c r="E175" s="167"/>
    </row>
    <row r="176" spans="1:5">
      <c r="A176" s="131" t="s">
        <v>747</v>
      </c>
      <c r="B176" s="129" t="s">
        <v>125</v>
      </c>
      <c r="C176" s="167">
        <f>(C141*C175*C96/(C96-2*C97)+C6*C151)/(C141*C96/(C96-2*C97)+C151)</f>
        <v>73.657993133164766</v>
      </c>
      <c r="E176" s="167"/>
    </row>
    <row r="177" spans="1:5">
      <c r="A177" s="131"/>
      <c r="C177" s="154" t="s">
        <v>809</v>
      </c>
      <c r="E177" s="167"/>
    </row>
    <row r="178" spans="1:5">
      <c r="A178" s="131"/>
      <c r="C178" s="167"/>
      <c r="E178" s="167"/>
    </row>
    <row r="179" spans="1:5">
      <c r="A179" s="131"/>
    </row>
    <row r="180" spans="1:5">
      <c r="A180" s="62" t="s">
        <v>736</v>
      </c>
      <c r="C180" s="167"/>
    </row>
    <row r="181" spans="1:5">
      <c r="A181" s="131"/>
    </row>
    <row r="182" spans="1:5" ht="45">
      <c r="A182" s="131" t="s">
        <v>748</v>
      </c>
      <c r="C182" s="124">
        <f>f_b_004_f_18_DzettaChessBundle(C96/1000,C101/1000,C102/1000,C118,C137)</f>
        <v>5.4112327846930812</v>
      </c>
      <c r="E182" s="124">
        <f>f_b_004_f_18_DzettaChessBundle(E96/1000,E101/1000,E102/1000,E118,E137)</f>
        <v>2.5925601673313845</v>
      </c>
    </row>
    <row r="183" spans="1:5" ht="45">
      <c r="A183" s="131" t="s">
        <v>811</v>
      </c>
      <c r="C183" s="149">
        <v>2</v>
      </c>
      <c r="E183" s="149">
        <v>2</v>
      </c>
    </row>
    <row r="184" spans="1:5" ht="30">
      <c r="A184" s="131" t="s">
        <v>807</v>
      </c>
      <c r="B184" s="129" t="s">
        <v>271</v>
      </c>
      <c r="C184" s="124">
        <f>f_b_004_f_22_DragOuterTubeWashingAH(C182,0,C112,C150,C144)</f>
        <v>477.47901855137269</v>
      </c>
      <c r="E184" s="124">
        <f>f_b_004_f_22_DragOuterTubeWashingAH(E182,0,E112,E150,C144)</f>
        <v>136.19440837634954</v>
      </c>
    </row>
    <row r="185" spans="1:5" ht="30">
      <c r="A185" s="131" t="s">
        <v>810</v>
      </c>
      <c r="B185" s="129" t="s">
        <v>271</v>
      </c>
      <c r="C185" s="124">
        <f>f_b_004_f_21_DragInnerTubeWashingAH(C96/1000,C97/1000,C183,C114,C112,f_b_004_f_15_LambdaGidr(C137,C98/C96),C107,C134)</f>
        <v>1712.0989886631521</v>
      </c>
      <c r="E185" s="124">
        <f>f_b_004_f_21_DragInnerTubeWashingAH(E96/1000,E97/1000,E183,E114,E112,f_b_004_f_15_LambdaGidr(E137,E98/E96),E140,C134)</f>
        <v>1098.8844707988919</v>
      </c>
    </row>
    <row r="186" spans="1:5">
      <c r="A186" s="131"/>
    </row>
    <row r="187" spans="1:5" ht="30">
      <c r="A187" s="131" t="s">
        <v>808</v>
      </c>
    </row>
    <row r="188" spans="1:5">
      <c r="A188" s="131"/>
    </row>
    <row r="189" spans="1:5">
      <c r="A189" s="131"/>
    </row>
    <row r="190" spans="1:5">
      <c r="A190" s="131"/>
    </row>
    <row r="191" spans="1:5">
      <c r="A191" s="131"/>
    </row>
    <row r="192" spans="1:5">
      <c r="A192" s="131"/>
    </row>
    <row r="193" spans="1:1">
      <c r="A193" s="131"/>
    </row>
    <row r="194" spans="1:1">
      <c r="A194" s="131"/>
    </row>
    <row r="195" spans="1:1">
      <c r="A195" s="131"/>
    </row>
    <row r="196" spans="1:1">
      <c r="A196" s="131"/>
    </row>
    <row r="197" spans="1:1">
      <c r="A197" s="131"/>
    </row>
    <row r="198" spans="1:1">
      <c r="A198" s="131"/>
    </row>
    <row r="199" spans="1:1">
      <c r="A199" s="131"/>
    </row>
    <row r="200" spans="1:1">
      <c r="A200" s="131"/>
    </row>
    <row r="201" spans="1:1">
      <c r="A201" s="131"/>
    </row>
    <row r="202" spans="1:1">
      <c r="A202" s="131"/>
    </row>
    <row r="203" spans="1:1">
      <c r="A203" s="131"/>
    </row>
    <row r="204" spans="1:1">
      <c r="A204" s="131"/>
    </row>
    <row r="205" spans="1:1">
      <c r="A205" s="131"/>
    </row>
    <row r="206" spans="1:1">
      <c r="A206" s="131"/>
    </row>
    <row r="207" spans="1:1">
      <c r="A207" s="131"/>
    </row>
    <row r="208" spans="1:1">
      <c r="A208" s="131"/>
    </row>
    <row r="209" spans="1:1">
      <c r="A209" s="131"/>
    </row>
    <row r="210" spans="1:1">
      <c r="A210" s="131"/>
    </row>
    <row r="211" spans="1:1">
      <c r="A211" s="131"/>
    </row>
    <row r="212" spans="1:1">
      <c r="A212" s="131"/>
    </row>
    <row r="213" spans="1:1">
      <c r="A213" s="131"/>
    </row>
    <row r="214" spans="1:1">
      <c r="A214" s="131"/>
    </row>
    <row r="215" spans="1:1">
      <c r="A215" s="131"/>
    </row>
  </sheetData>
  <conditionalFormatting sqref="C17">
    <cfRule type="cellIs" dxfId="17" priority="2" operator="lessThanOrEqual">
      <formula>40</formula>
    </cfRule>
  </conditionalFormatting>
  <conditionalFormatting sqref="B103">
    <cfRule type="cellIs" dxfId="16" priority="1" operator="equal">
      <formula>9999999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5"/>
  <dimension ref="A1:G217"/>
  <sheetViews>
    <sheetView workbookViewId="0">
      <selection activeCell="E117" sqref="E117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2.570312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50</v>
      </c>
    </row>
    <row r="6" spans="1:7">
      <c r="A6" s="131" t="s">
        <v>652</v>
      </c>
      <c r="B6" s="129" t="s">
        <v>125</v>
      </c>
      <c r="C6" s="102">
        <v>50</v>
      </c>
    </row>
    <row r="7" spans="1:7">
      <c r="A7" s="131" t="s">
        <v>651</v>
      </c>
      <c r="B7" s="129" t="s">
        <v>125</v>
      </c>
      <c r="C7" s="102">
        <v>93</v>
      </c>
      <c r="D7" s="167">
        <f>C168</f>
        <v>75.552306407999083</v>
      </c>
      <c r="E7" s="167">
        <f>C7-D7</f>
        <v>17.447693592000917</v>
      </c>
    </row>
    <row r="8" spans="1:7">
      <c r="A8" s="131" t="s">
        <v>503</v>
      </c>
      <c r="B8" s="129" t="s">
        <v>125</v>
      </c>
      <c r="C8" s="130">
        <f>C7</f>
        <v>93</v>
      </c>
      <c r="E8" s="21" t="s">
        <v>799</v>
      </c>
      <c r="F8" s="154">
        <f>C91</f>
        <v>249.82083484417529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93</v>
      </c>
    </row>
    <row r="10" spans="1:7">
      <c r="A10" s="131" t="s">
        <v>654</v>
      </c>
      <c r="B10" s="129" t="s">
        <v>125</v>
      </c>
      <c r="C10" s="130">
        <f>C6</f>
        <v>50</v>
      </c>
    </row>
    <row r="11" spans="1:7">
      <c r="A11" s="131" t="s">
        <v>681</v>
      </c>
      <c r="B11" s="129" t="s">
        <v>125</v>
      </c>
      <c r="C11" s="130">
        <f>0.5*(C7+C6)</f>
        <v>71.5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240</v>
      </c>
      <c r="D14" s="154">
        <f>f_b_000_Interpolate(D81,Fuel!E159:E183,Fuel!A159:A183)</f>
        <v>19.147228522149941</v>
      </c>
      <c r="E14" s="160">
        <f>C14-D14</f>
        <v>220.85277147785007</v>
      </c>
    </row>
    <row r="15" spans="1:7" ht="30">
      <c r="A15" s="131" t="s">
        <v>640</v>
      </c>
      <c r="B15" s="129" t="s">
        <v>125</v>
      </c>
      <c r="C15" s="102">
        <v>210</v>
      </c>
      <c r="D15" s="167">
        <f>C166</f>
        <v>219.93087782247775</v>
      </c>
      <c r="E15" s="167">
        <f>C15-D15</f>
        <v>-9.9308778224777541</v>
      </c>
    </row>
    <row r="16" spans="1:7">
      <c r="A16" s="131"/>
      <c r="C16" s="134"/>
      <c r="E16" s="21" t="s">
        <v>800</v>
      </c>
      <c r="F16" s="154">
        <f>C85</f>
        <v>247.22126922291903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147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 hidden="1">
      <c r="A19" s="153" t="s">
        <v>657</v>
      </c>
      <c r="C19" s="134"/>
    </row>
    <row r="20" spans="1:5" s="150" customFormat="1" hidden="1">
      <c r="A20" s="152" t="s">
        <v>658</v>
      </c>
      <c r="C20" s="130">
        <f>C28-C27+C31</f>
        <v>1.18</v>
      </c>
    </row>
    <row r="21" spans="1:5" s="150" customFormat="1" hidden="1">
      <c r="A21" s="152" t="s">
        <v>634</v>
      </c>
      <c r="C21" s="130">
        <f>C20-C31</f>
        <v>1.1499999999999999</v>
      </c>
    </row>
    <row r="22" spans="1:5" s="150" customFormat="1" hidden="1">
      <c r="A22" s="152" t="s">
        <v>659</v>
      </c>
      <c r="C22" s="155">
        <f>C20*(C6-C5)/(C7-C6)</f>
        <v>0</v>
      </c>
    </row>
    <row r="23" spans="1:5" s="150" customFormat="1" hidden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 hidden="1">
      <c r="A26" s="131" t="s">
        <v>497</v>
      </c>
      <c r="C26" s="130">
        <f>Fuel!B79</f>
        <v>1.1499999999999999</v>
      </c>
    </row>
    <row r="27" spans="1:5" hidden="1">
      <c r="A27" s="131" t="s">
        <v>498</v>
      </c>
      <c r="C27" s="130">
        <f>Fuel!B75</f>
        <v>0.05</v>
      </c>
    </row>
    <row r="28" spans="1:5" hidden="1">
      <c r="A28" s="131" t="s">
        <v>127</v>
      </c>
      <c r="C28" s="130">
        <f>C26+C27</f>
        <v>1.2</v>
      </c>
    </row>
    <row r="29" spans="1:5" hidden="1">
      <c r="A29" s="131" t="s">
        <v>549</v>
      </c>
      <c r="C29" s="130">
        <v>0</v>
      </c>
    </row>
    <row r="30" spans="1:5" ht="30" hidden="1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5.9722222222222223</v>
      </c>
      <c r="D34" s="147">
        <f>C73*Fuel!B88*C26</f>
        <v>10.006671472878365</v>
      </c>
    </row>
    <row r="35" spans="1:4">
      <c r="A35" s="62"/>
      <c r="B35" s="129" t="s">
        <v>642</v>
      </c>
      <c r="C35" s="139">
        <v>21500</v>
      </c>
      <c r="D35" s="148">
        <f>D34*3600</f>
        <v>36024.01730236211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10.416666666666666</v>
      </c>
      <c r="D49" s="154">
        <f>C73*Fuel!E107</f>
        <v>11.615082316775863</v>
      </c>
    </row>
    <row r="50" spans="1:4">
      <c r="A50" s="62"/>
      <c r="B50" s="129" t="s">
        <v>642</v>
      </c>
      <c r="C50" s="139">
        <v>37500</v>
      </c>
      <c r="D50" s="148">
        <f>D49*3600</f>
        <v>41814.296340393106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29.5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80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73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151.80837913043479</v>
      </c>
      <c r="D61" s="173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741.90685660000008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741.90685660000008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1379.9467532760002</v>
      </c>
    </row>
    <row r="65" spans="1:3" ht="30">
      <c r="A65" s="131" t="s">
        <v>501</v>
      </c>
      <c r="B65" s="129" t="s">
        <v>210</v>
      </c>
      <c r="C65" s="116">
        <f>C26*(C64-C62)</f>
        <v>733.74588117740007</v>
      </c>
    </row>
    <row r="66" spans="1:3" ht="30">
      <c r="A66" s="131" t="s">
        <v>144</v>
      </c>
      <c r="B66" s="129" t="s">
        <v>210</v>
      </c>
      <c r="C66" s="116">
        <f>C58+C61+C65</f>
        <v>43561.518260307843</v>
      </c>
    </row>
    <row r="67" spans="1:3" ht="30">
      <c r="A67" s="131" t="s">
        <v>143</v>
      </c>
      <c r="B67" s="129" t="s">
        <v>502</v>
      </c>
      <c r="C67" s="102">
        <v>5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4387.3069245292409</v>
      </c>
    </row>
    <row r="71" spans="1:3">
      <c r="A71" s="131" t="s">
        <v>140</v>
      </c>
      <c r="B71" s="129" t="s">
        <v>502</v>
      </c>
      <c r="C71" s="116">
        <f>(C70-C32*C62)*(100-C68)/C66</f>
        <v>7.9766767313924314</v>
      </c>
    </row>
    <row r="72" spans="1:3">
      <c r="A72" s="131" t="s">
        <v>139</v>
      </c>
      <c r="B72" s="129" t="s">
        <v>502</v>
      </c>
      <c r="C72" s="116">
        <f>100-C71-C69-C68-C67</f>
        <v>87.02332326860757</v>
      </c>
    </row>
    <row r="73" spans="1:3">
      <c r="A73" s="131" t="s">
        <v>138</v>
      </c>
      <c r="B73" s="129" t="s">
        <v>508</v>
      </c>
      <c r="C73" s="132">
        <f>C57*1000*100/C66/C72</f>
        <v>0.7781858754664166</v>
      </c>
    </row>
    <row r="74" spans="1:3">
      <c r="A74" s="131"/>
      <c r="B74" s="129" t="s">
        <v>215</v>
      </c>
      <c r="C74" s="133">
        <f>C73*3600</f>
        <v>2801.4691516790999</v>
      </c>
    </row>
    <row r="75" spans="1:3">
      <c r="A75" s="131"/>
      <c r="B75" s="129" t="s">
        <v>96</v>
      </c>
      <c r="C75" s="132">
        <f>C73*Fuel!B39</f>
        <v>0.70906904019782802</v>
      </c>
    </row>
    <row r="76" spans="1:3">
      <c r="A76" s="131"/>
      <c r="B76" s="129" t="s">
        <v>95</v>
      </c>
      <c r="C76" s="133">
        <f>C75*3600</f>
        <v>2552.6485447121809</v>
      </c>
    </row>
    <row r="77" spans="1:3">
      <c r="A77" s="131" t="s">
        <v>128</v>
      </c>
      <c r="C77" s="132">
        <f>1-(C67/(C67+C72))</f>
        <v>0.94566594834436202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856</v>
      </c>
      <c r="C81" s="116">
        <f>f_b_000_Interpolate2D(0.101,C14,'Stream 1'!C85:E85,'Stream 1'!C86:Z88,'Stream 1'!C107:Z109)</f>
        <v>159.69426166794184</v>
      </c>
      <c r="D81" s="154">
        <f>C91/C77+C82-C31*C83</f>
        <v>387.08367228007245</v>
      </c>
      <c r="E81" s="150"/>
    </row>
    <row r="82" spans="1:5">
      <c r="A82" s="131" t="s">
        <v>676</v>
      </c>
      <c r="B82" s="129" t="s">
        <v>856</v>
      </c>
      <c r="C82" s="116">
        <f>f_b_000_Interpolate2D(0.101,C15,'Stream 1'!C85:E85,'Stream 1'!C86:Z88,'Stream 1'!C107:Z109)</f>
        <v>125.04224924012159</v>
      </c>
    </row>
    <row r="83" spans="1:5">
      <c r="A83" s="131" t="s">
        <v>682</v>
      </c>
      <c r="B83" s="129" t="s">
        <v>856</v>
      </c>
      <c r="C83" s="116">
        <f>f_b_000_Interpolate2D(0.101,0.5*(C6+C7),'Stream 2'!C85:E85,'Stream 2'!C86:Z88,'Stream 2'!C107:Z109)</f>
        <v>71.102768834513853</v>
      </c>
    </row>
    <row r="84" spans="1:5">
      <c r="A84" s="131"/>
      <c r="C84" s="20"/>
    </row>
    <row r="85" spans="1:5">
      <c r="A85" s="131" t="s">
        <v>677</v>
      </c>
      <c r="B85" s="129" t="s">
        <v>678</v>
      </c>
      <c r="C85" s="116">
        <f>C77*(C81-C82+C31*C83)*C49*C134</f>
        <v>247.22126922291903</v>
      </c>
    </row>
    <row r="86" spans="1:5">
      <c r="A86" s="131"/>
      <c r="C86" s="42"/>
    </row>
    <row r="87" spans="1:5">
      <c r="A87" s="131"/>
      <c r="C87" s="41"/>
    </row>
    <row r="88" spans="1:5">
      <c r="A88" s="131" t="s">
        <v>637</v>
      </c>
      <c r="B88" s="129" t="s">
        <v>856</v>
      </c>
      <c r="C88" s="116">
        <f>f_b_000_Interpolate2D(0.101,C6,'Stream 2'!C85:E85,'Stream 2'!C86:Z88,'Stream 2'!C107:Z109)</f>
        <v>49.603851091142495</v>
      </c>
    </row>
    <row r="89" spans="1:5">
      <c r="A89" s="131" t="s">
        <v>679</v>
      </c>
      <c r="B89" s="129" t="s">
        <v>856</v>
      </c>
      <c r="C89" s="116">
        <f>f_b_000_Interpolate2D(0.101,C7,'Stream 2'!C85:E85,'Stream 2'!C86:Z88,'Stream 2'!C107:Z109)</f>
        <v>92.695739186571984</v>
      </c>
    </row>
    <row r="90" spans="1:5">
      <c r="A90" s="131"/>
      <c r="C90" s="20"/>
    </row>
    <row r="91" spans="1:5">
      <c r="A91" s="131" t="s">
        <v>680</v>
      </c>
      <c r="B91" s="129" t="s">
        <v>678</v>
      </c>
      <c r="C91" s="116">
        <f>(C89-C88-C31*C83)*C34*C145</f>
        <v>249.82083484417529</v>
      </c>
    </row>
    <row r="92" spans="1:5">
      <c r="A92" s="131"/>
      <c r="C92" s="42"/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100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40</v>
      </c>
      <c r="F102" s="148">
        <f>f_b_004_f_10_s2MinAH(E96,E100,E101)</f>
        <v>36.660605559646719</v>
      </c>
    </row>
    <row r="103" spans="1:6">
      <c r="A103" s="131"/>
      <c r="B103" s="163">
        <f>C141</f>
        <v>6.0050946637264158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98.174770424681029</v>
      </c>
    </row>
    <row r="106" spans="1:6">
      <c r="A106" s="129" t="s">
        <v>683</v>
      </c>
      <c r="B106" s="129" t="s">
        <v>249</v>
      </c>
      <c r="C106" s="149">
        <v>12</v>
      </c>
      <c r="D106" s="129" t="s">
        <v>685</v>
      </c>
    </row>
    <row r="107" spans="1:6" ht="30">
      <c r="A107" s="131" t="s">
        <v>684</v>
      </c>
      <c r="B107" s="129" t="s">
        <v>249</v>
      </c>
      <c r="C107" s="149">
        <v>6</v>
      </c>
      <c r="D107" s="129" t="s">
        <v>686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1.9</v>
      </c>
      <c r="D111" s="162"/>
      <c r="E111" s="149">
        <v>1.855</v>
      </c>
    </row>
    <row r="112" spans="1:6">
      <c r="A112" s="131" t="s">
        <v>627</v>
      </c>
      <c r="B112" s="129" t="s">
        <v>377</v>
      </c>
      <c r="C112" s="149">
        <v>1</v>
      </c>
      <c r="D112" s="154">
        <f>C162</f>
        <v>1.5868132403169393</v>
      </c>
      <c r="E112" s="149">
        <v>1</v>
      </c>
      <c r="F112" s="154">
        <f>E162</f>
        <v>1.0946366553785407</v>
      </c>
    </row>
    <row r="113" spans="1:6">
      <c r="A113" s="131" t="s">
        <v>802</v>
      </c>
      <c r="C113" s="156">
        <f>IF(C112&lt;=5,C112,5)</f>
        <v>1</v>
      </c>
      <c r="D113" s="160"/>
      <c r="E113" s="156">
        <f>IF(E112&lt;=5,E112,5)</f>
        <v>1</v>
      </c>
      <c r="F113" s="160"/>
    </row>
    <row r="114" spans="1:6">
      <c r="A114" s="131" t="s">
        <v>725</v>
      </c>
      <c r="B114" s="129" t="s">
        <v>152</v>
      </c>
      <c r="C114" s="156">
        <f>C111*C112</f>
        <v>1.9</v>
      </c>
      <c r="D114" s="154">
        <f>C163</f>
        <v>2.7734164009627831</v>
      </c>
      <c r="E114" s="156">
        <f>E111*E112</f>
        <v>1.855</v>
      </c>
      <c r="F114" s="154">
        <f>E163</f>
        <v>2.030550995727193</v>
      </c>
    </row>
    <row r="115" spans="1:6">
      <c r="A115" s="131"/>
    </row>
    <row r="116" spans="1:6" ht="30">
      <c r="A116" s="131" t="s">
        <v>688</v>
      </c>
      <c r="B116" s="151">
        <f>C118*C117</f>
        <v>333</v>
      </c>
      <c r="C116" s="156">
        <f>f_b_004_f_11_nTubeAH(C35/3600,0.5*(C6+C7),C96/1000,C97/1000,C106)</f>
        <v>362</v>
      </c>
      <c r="D116" s="151">
        <f>f_b_004_f_11_nTubeAH(C34,0.5*(C6+C7),E96/1000,E97/1000,C106)</f>
        <v>362</v>
      </c>
      <c r="E116" s="156">
        <f>E117*E118</f>
        <v>464</v>
      </c>
    </row>
    <row r="117" spans="1:6">
      <c r="A117" s="131" t="s">
        <v>689</v>
      </c>
      <c r="C117" s="156">
        <f>f_b_004_f_12_z1AH(C49,0.5*(C14+C15),C96/1000,C101/1000,C111,C107)</f>
        <v>111</v>
      </c>
      <c r="D117" s="151">
        <f>f_b_004_f_12_z1AH(C49,0.5*(C14+C15),E96/1000,E101/1000,E111,C107)</f>
        <v>34</v>
      </c>
      <c r="E117" s="149">
        <v>29</v>
      </c>
    </row>
    <row r="118" spans="1:6">
      <c r="A118" s="131" t="s">
        <v>690</v>
      </c>
      <c r="C118" s="156">
        <f>ROUND(C116/C117,0)</f>
        <v>3</v>
      </c>
      <c r="E118" s="149">
        <v>16</v>
      </c>
      <c r="F118" s="154">
        <f>D116/E117</f>
        <v>12.482758620689655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7.3324999999999996</v>
      </c>
      <c r="E120" s="121">
        <f>(E101*(E117-1)+(0.5*E96+E109)*2+E101/2)/1000</f>
        <v>3</v>
      </c>
    </row>
    <row r="121" spans="1:6">
      <c r="A121" s="131" t="s">
        <v>693</v>
      </c>
      <c r="B121" s="129" t="s">
        <v>152</v>
      </c>
      <c r="C121" s="121">
        <f>(C102*(C118-1)+2*(C96/2+C109))/1000</f>
        <v>0.26</v>
      </c>
      <c r="E121" s="121">
        <f>(E102*(E118-1)+2*(E96/2+E109))/1000</f>
        <v>0.75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99.384283596313097</v>
      </c>
      <c r="E123" s="124">
        <f>PI()*(E96)/1000*E116*E111</f>
        <v>135.20158143989033</v>
      </c>
    </row>
    <row r="124" spans="1:6">
      <c r="A124" s="131" t="s">
        <v>695</v>
      </c>
      <c r="B124" s="129" t="s">
        <v>352</v>
      </c>
      <c r="C124" s="124">
        <f>C123*C112</f>
        <v>99.384283596313097</v>
      </c>
      <c r="D124" s="158">
        <f>C161</f>
        <v>157.70429709004321</v>
      </c>
      <c r="E124" s="124">
        <f>E123*E112</f>
        <v>135.20158143989033</v>
      </c>
      <c r="F124" s="158">
        <f>E161</f>
        <v>147.99660690925094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1170.2499393465869</v>
      </c>
      <c r="D126" s="160"/>
      <c r="E126" s="124">
        <f>7850*E124*E97/1000</f>
        <v>1591.9986214547087</v>
      </c>
      <c r="F126" s="160"/>
    </row>
    <row r="127" spans="1:6">
      <c r="A127" s="131" t="s">
        <v>729</v>
      </c>
      <c r="C127" s="168">
        <f>C120*C121*7850*16/1000*2</f>
        <v>478.90024</v>
      </c>
      <c r="D127" s="168"/>
      <c r="E127" s="168">
        <f>E120*E121*7850*16/1000*2</f>
        <v>565.20000000000005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1170.2499393465869</v>
      </c>
      <c r="D129" s="160"/>
      <c r="E129" s="124">
        <f>E126</f>
        <v>1591.9986214547087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f_b_000_Interpolate2D(0.101,0.5*(C14+C15),'Stream 1'!C85:E85,'Stream 1'!C86:Z88,'Stream 1'!C113:Z115)</f>
        <v>0.68225609756097561</v>
      </c>
    </row>
    <row r="135" spans="1:6">
      <c r="A135" s="157" t="s">
        <v>708</v>
      </c>
      <c r="B135" s="129" t="s">
        <v>721</v>
      </c>
      <c r="C135" s="121">
        <f>f_b_000_Interpolate2D(0.101,0.5*(C14+C15),'Stream 1'!C85:E85,'Stream 1'!C86:Z88,'Stream 1'!C122:Z124)</f>
        <v>3.76484756097561E-2</v>
      </c>
    </row>
    <row r="136" spans="1:6">
      <c r="A136" s="131" t="s">
        <v>1004</v>
      </c>
      <c r="B136" s="129" t="s">
        <v>1005</v>
      </c>
      <c r="C136" s="121">
        <f>f_b_000_Interpolate2D(0.101,0.5*(C14+C15),'Stream 1'!C85:E85,'Stream 1'!C86:Z88,'Stream 1'!C116:Z118)</f>
        <v>1.1555487804878048</v>
      </c>
    </row>
    <row r="137" spans="1:6" ht="30">
      <c r="A137" s="131" t="s">
        <v>1007</v>
      </c>
      <c r="B137" s="129" t="s">
        <v>1008</v>
      </c>
      <c r="C137" s="165">
        <f>f_b_000_Interpolate2D(0.101,0.5*(C14+C15),'Stream 1'!C85:E85,'Stream 1'!C86:Z88,'Stream 1'!C119:Z121)</f>
        <v>2.4354878048780487E-2</v>
      </c>
    </row>
    <row r="138" spans="1:6">
      <c r="A138" s="137" t="s">
        <v>711</v>
      </c>
      <c r="C138" s="166">
        <f>f_b_004_f_20_Reynolds(C141,C96/1000-2*C97/1000,C137/C134/1000)</f>
        <v>7906.4072831716967</v>
      </c>
      <c r="E138" s="166">
        <f>f_b_004_f_20_Reynolds(E141,E96/1000-2*E97/1000,C137/1000/C134)</f>
        <v>9298.9755331587148</v>
      </c>
    </row>
    <row r="139" spans="1:6">
      <c r="A139" s="137" t="s">
        <v>712</v>
      </c>
      <c r="C139" s="121">
        <f>C136*C137/C135</f>
        <v>0.74752693628064326</v>
      </c>
    </row>
    <row r="140" spans="1:6">
      <c r="A140" s="137" t="s">
        <v>713</v>
      </c>
      <c r="C140" s="166">
        <f>C138*C139</f>
        <v>5910.2524133763027</v>
      </c>
      <c r="E140" s="166">
        <f>E138*C139</f>
        <v>6951.2346908507952</v>
      </c>
    </row>
    <row r="141" spans="1:6">
      <c r="A141" s="157" t="s">
        <v>706</v>
      </c>
      <c r="B141" s="129" t="s">
        <v>249</v>
      </c>
      <c r="C141" s="122">
        <f>f_b_004_f_14_w2AH(0,C96/1000,C101/1000,C102/1000,C111,C117,C49,0.5*(C14+C15))</f>
        <v>6.0050946637264158</v>
      </c>
      <c r="E141" s="122">
        <f>f_b_004_f_14_w2AH(0,E96/1000,E101/1000,E102/1000,E111,E117,C49,0.5*(C14+C15))</f>
        <v>7.0627816595217077</v>
      </c>
    </row>
    <row r="142" spans="1:6" ht="30">
      <c r="A142" s="137" t="s">
        <v>714</v>
      </c>
      <c r="B142" s="142" t="s">
        <v>614</v>
      </c>
      <c r="C142" s="161">
        <f>f_b_004_f_16_Alfa01(C138,C139,C96/1000,C101/1000,C102/1000,C118,C135)</f>
        <v>40.949974618309369</v>
      </c>
      <c r="E142" s="161">
        <f>f_b_004_f_16_Alfa01(E138,C139,E96/1000,E101/1000,E102/1000,E118,C135)</f>
        <v>86.072710427407017</v>
      </c>
    </row>
    <row r="143" spans="1:6">
      <c r="A143" s="137"/>
    </row>
    <row r="144" spans="1:6">
      <c r="A144" s="137" t="s">
        <v>705</v>
      </c>
    </row>
    <row r="145" spans="1:5">
      <c r="A145" s="131" t="s">
        <v>716</v>
      </c>
      <c r="B145" s="129" t="s">
        <v>207</v>
      </c>
      <c r="C145" s="121">
        <f>f_b_000_Interpolate2D(0.101,0.5*(C6+C7),'Stream 2'!C85:E85,'Stream 2'!C86:Z88,'Stream 2'!C113:Z115)</f>
        <v>1.0212813908564069</v>
      </c>
    </row>
    <row r="146" spans="1:5">
      <c r="A146" s="131" t="s">
        <v>717</v>
      </c>
      <c r="B146" s="129" t="s">
        <v>721</v>
      </c>
      <c r="C146" s="121">
        <f>f_b_000_Interpolate2D(0.101,0.5*(C6+C7),'Stream 2'!C85:E85,'Stream 2'!C86:Z88,'Stream 2'!C122:Z124)</f>
        <v>2.7774372182871859E-2</v>
      </c>
    </row>
    <row r="147" spans="1:5">
      <c r="A147" s="131" t="s">
        <v>1006</v>
      </c>
      <c r="B147" s="129" t="s">
        <v>1005</v>
      </c>
      <c r="C147" s="121">
        <f>f_b_000_Interpolate2D(0.101,0.5*(C6+C7),'Stream 2'!C85:E85,'Stream 2'!C86:Z88,'Stream 2'!C116:Z118)</f>
        <v>1.0007231165486157</v>
      </c>
    </row>
    <row r="148" spans="1:5">
      <c r="A148" s="131" t="s">
        <v>1009</v>
      </c>
      <c r="B148" s="129" t="s">
        <v>1008</v>
      </c>
      <c r="C148" s="165">
        <f>f_b_000_Interpolate2D(0.101,0.5*(C6+C7),'Stream 2'!C85:E85,'Stream 2'!C86:Z88,'Stream 2'!C119:Z121)</f>
        <v>2.1002060528010302E-2</v>
      </c>
    </row>
    <row r="149" spans="1:5">
      <c r="A149" s="137" t="s">
        <v>711</v>
      </c>
      <c r="C149" s="166">
        <f>f_b_004_f_20_Reynolds(C152,(C96)/1000,C148/1000/C145)</f>
        <v>31607.989281400041</v>
      </c>
      <c r="E149" s="166">
        <f>f_b_004_f_20_Reynolds(E152,(E96)/1000,C148/1000/C145)</f>
        <v>21882.454117892335</v>
      </c>
    </row>
    <row r="150" spans="1:5">
      <c r="A150" s="137" t="s">
        <v>712</v>
      </c>
      <c r="C150" s="121">
        <f>C147*C148/C146</f>
        <v>0.75671368292869046</v>
      </c>
    </row>
    <row r="151" spans="1:5">
      <c r="A151" s="137" t="s">
        <v>713</v>
      </c>
      <c r="C151" s="166">
        <f>C149*C150</f>
        <v>23918.197979098797</v>
      </c>
      <c r="E151" s="166">
        <f>E149*C150</f>
        <v>16558.752447068397</v>
      </c>
    </row>
    <row r="152" spans="1:5">
      <c r="A152" s="131" t="s">
        <v>719</v>
      </c>
      <c r="B152" s="129" t="s">
        <v>249</v>
      </c>
      <c r="C152" s="122">
        <f>f_b_004_f_13_w1AH(C96/1000,C97/1000,C117,C118,C34,0.5*(C6+C7))</f>
        <v>13</v>
      </c>
      <c r="E152" s="122">
        <f>f_b_004_f_13_w1AH(E96/1000,E97/1000,E117,E118,C34,0.5*(C6+C7))</f>
        <v>9</v>
      </c>
    </row>
    <row r="153" spans="1:5" ht="30">
      <c r="A153" s="137" t="s">
        <v>801</v>
      </c>
      <c r="B153" s="142" t="s">
        <v>715</v>
      </c>
      <c r="C153" s="161">
        <f>f_b_004_f_17_Alfa02(C149,C150,(C96-2*C97)/1000,C111,C98/C96,C146)</f>
        <v>44.340240284556877</v>
      </c>
      <c r="E153" s="161">
        <f>f_b_004_f_17_Alfa02(E149,C150,(E96-2*E97)/1000,E111,E98/E96,C146)</f>
        <v>30.803963862519986</v>
      </c>
    </row>
    <row r="154" spans="1:5">
      <c r="A154" s="131"/>
    </row>
    <row r="155" spans="1:5">
      <c r="A155" s="131" t="s">
        <v>703</v>
      </c>
      <c r="C155" s="149">
        <v>0.8</v>
      </c>
      <c r="E155" s="149">
        <v>0.8</v>
      </c>
    </row>
    <row r="156" spans="1:5">
      <c r="A156" s="137" t="s">
        <v>701</v>
      </c>
      <c r="B156" s="142" t="s">
        <v>702</v>
      </c>
      <c r="C156" s="161">
        <f>C155*C142/(1+C142/C153)</f>
        <v>17.031090530515932</v>
      </c>
      <c r="E156" s="161">
        <f>E155*E142/(1+E142/E153)</f>
        <v>18.148227968759045</v>
      </c>
    </row>
    <row r="157" spans="1:5">
      <c r="A157" s="131" t="s">
        <v>699</v>
      </c>
      <c r="C157" s="129" t="s">
        <v>700</v>
      </c>
    </row>
    <row r="158" spans="1:5" ht="30">
      <c r="A158" s="137" t="s">
        <v>698</v>
      </c>
      <c r="B158" s="142" t="s">
        <v>125</v>
      </c>
      <c r="C158" s="161">
        <f>f_b_004_f_33_dtlogAH(0,C113,C14,C15,C6,C7)</f>
        <v>92.044924792819955</v>
      </c>
      <c r="E158" s="161">
        <f>f_b_004_f_33_dtlogAH(0,E113,C14,C15,C6,C7)</f>
        <v>92.044924792819955</v>
      </c>
    </row>
    <row r="159" spans="1:5">
      <c r="A159" s="137" t="s">
        <v>704</v>
      </c>
      <c r="B159" s="142" t="s">
        <v>678</v>
      </c>
      <c r="C159" s="161">
        <f>C156*C158*C124/1000</f>
        <v>155.79733199953682</v>
      </c>
      <c r="D159" s="150"/>
      <c r="E159" s="161">
        <f>E156*E158*E124/1000</f>
        <v>225.84778977406563</v>
      </c>
    </row>
    <row r="160" spans="1:5">
      <c r="A160" s="131" t="s">
        <v>696</v>
      </c>
      <c r="B160" s="129" t="s">
        <v>678</v>
      </c>
      <c r="C160" s="124">
        <f>C85</f>
        <v>247.22126922291903</v>
      </c>
      <c r="E160" s="124">
        <f>C160</f>
        <v>247.22126922291903</v>
      </c>
    </row>
    <row r="161" spans="1:6">
      <c r="A161" s="131" t="s">
        <v>697</v>
      </c>
      <c r="B161" s="129" t="s">
        <v>352</v>
      </c>
      <c r="C161" s="124">
        <f>C160/C156/C158*1000</f>
        <v>157.70429709004321</v>
      </c>
      <c r="D161" s="154">
        <f>C124</f>
        <v>99.384283596313097</v>
      </c>
      <c r="E161" s="124">
        <f>E160/E156/E158*1000</f>
        <v>147.99660690925094</v>
      </c>
      <c r="F161" s="154">
        <f>E124</f>
        <v>135.20158143989033</v>
      </c>
    </row>
    <row r="162" spans="1:6">
      <c r="A162" s="131" t="s">
        <v>723</v>
      </c>
      <c r="C162" s="124">
        <f>C161/C123</f>
        <v>1.5868132403169393</v>
      </c>
      <c r="E162" s="124">
        <f>E161/E123</f>
        <v>1.0946366553785407</v>
      </c>
    </row>
    <row r="163" spans="1:6">
      <c r="A163" s="131" t="s">
        <v>724</v>
      </c>
      <c r="B163" s="129" t="s">
        <v>152</v>
      </c>
      <c r="C163" s="121">
        <f>C161*1000/PI()/C96/C116</f>
        <v>2.7734164009627831</v>
      </c>
      <c r="E163" s="121">
        <f>E161*1000/PI()/E96/E116</f>
        <v>2.030550995727193</v>
      </c>
    </row>
    <row r="164" spans="1:6">
      <c r="A164" s="131"/>
    </row>
    <row r="165" spans="1:6">
      <c r="A165" s="131" t="s">
        <v>733</v>
      </c>
      <c r="B165" s="129" t="s">
        <v>856</v>
      </c>
      <c r="C165" s="167">
        <f>C81-C159/C77/C49/C134</f>
        <v>136.51251944507732</v>
      </c>
      <c r="E165" s="167">
        <f>E81-E159/C77/C49/C134</f>
        <v>-33.604845326630191</v>
      </c>
    </row>
    <row r="166" spans="1:6">
      <c r="A166" s="131" t="s">
        <v>732</v>
      </c>
      <c r="B166" s="129" t="s">
        <v>125</v>
      </c>
      <c r="C166" s="167">
        <f>f_b_000_Interpolate2D(0.101,C165,'Stream 1'!C85:E85,'Stream 1'!C107:Z109,'Stream 1'!C86:Z88)</f>
        <v>219.93087782247775</v>
      </c>
      <c r="E166" s="167">
        <f>f_b_000_Interpolate(E165,Fuel!F159:F183,Fuel!A159:A183)</f>
        <v>-1.6264619607806168</v>
      </c>
    </row>
    <row r="167" spans="1:6">
      <c r="A167" s="131" t="s">
        <v>734</v>
      </c>
      <c r="B167" s="129" t="s">
        <v>856</v>
      </c>
      <c r="C167" s="167">
        <f>C159/C34/C145+C88</f>
        <v>75.147247219831669</v>
      </c>
      <c r="E167" s="167">
        <f>E159/C73/C23+C88</f>
        <v>298.72269257405895</v>
      </c>
    </row>
    <row r="168" spans="1:6">
      <c r="A168" s="131" t="s">
        <v>735</v>
      </c>
      <c r="B168" s="129" t="s">
        <v>125</v>
      </c>
      <c r="C168" s="167">
        <f>f_b_000_Interpolate2D(0.101,C167,'Stream 2'!C85:E85,'Stream 2'!C107:Z109,'Stream 2'!C86:Z88)</f>
        <v>75.552306407999083</v>
      </c>
      <c r="E168" s="167">
        <f>f_b_000_Interpolate(E167,Fuel!B159:B183,Fuel!A159:A183)</f>
        <v>20.132088679099219</v>
      </c>
    </row>
    <row r="169" spans="1:6">
      <c r="A169" s="131"/>
      <c r="C169" s="167"/>
      <c r="E169" s="167"/>
    </row>
    <row r="170" spans="1:6">
      <c r="A170" s="62" t="s">
        <v>738</v>
      </c>
      <c r="C170" s="167"/>
      <c r="E170" s="167"/>
    </row>
    <row r="171" spans="1:6">
      <c r="A171" s="131"/>
      <c r="C171" s="167"/>
      <c r="E171" s="167"/>
    </row>
    <row r="172" spans="1:6">
      <c r="A172" s="131" t="s">
        <v>739</v>
      </c>
      <c r="B172" s="129" t="s">
        <v>740</v>
      </c>
      <c r="C172" s="167">
        <f>f_b_004_f_24_KLUniversal((C96)/1000,(C96-2*C97)/1000,C153,C142,45)</f>
        <v>3.2343527226373361</v>
      </c>
      <c r="D172" s="167"/>
      <c r="E172" s="167"/>
    </row>
    <row r="173" spans="1:6">
      <c r="A173" s="131" t="s">
        <v>741</v>
      </c>
      <c r="B173" s="129" t="s">
        <v>125</v>
      </c>
      <c r="C173" s="167">
        <f>C15-C6</f>
        <v>160</v>
      </c>
      <c r="E173" s="167"/>
    </row>
    <row r="174" spans="1:6">
      <c r="A174" s="131" t="s">
        <v>742</v>
      </c>
      <c r="B174" s="129" t="s">
        <v>743</v>
      </c>
      <c r="C174" s="167">
        <f>C172*C173</f>
        <v>517.49643562197377</v>
      </c>
      <c r="E174" s="167"/>
    </row>
    <row r="175" spans="1:6">
      <c r="A175" s="131" t="s">
        <v>744</v>
      </c>
      <c r="B175" s="129" t="s">
        <v>125</v>
      </c>
      <c r="C175" s="167">
        <f>C15-C174/(PI()*(C96-C97*2)/1000*C142)</f>
        <v>124.41335639049582</v>
      </c>
      <c r="E175" s="167"/>
    </row>
    <row r="176" spans="1:6">
      <c r="A176" s="131" t="s">
        <v>745</v>
      </c>
      <c r="B176" s="129" t="s">
        <v>125</v>
      </c>
      <c r="C176" s="167">
        <f>C6+C174/(PI()*(C96)/1000*C153)</f>
        <v>124.30010774241073</v>
      </c>
      <c r="E176" s="167"/>
    </row>
    <row r="177" spans="1:5" ht="30">
      <c r="A177" s="131" t="s">
        <v>746</v>
      </c>
      <c r="B177" s="129" t="s">
        <v>125</v>
      </c>
      <c r="C177" s="167">
        <v>180</v>
      </c>
      <c r="D177" s="129">
        <f>C6+0.5*(C15-C6)</f>
        <v>130</v>
      </c>
      <c r="E177" s="167"/>
    </row>
    <row r="178" spans="1:5">
      <c r="A178" s="131" t="s">
        <v>747</v>
      </c>
      <c r="B178" s="129" t="s">
        <v>125</v>
      </c>
      <c r="C178" s="167">
        <f>(C142*C177*C96/(C96-2*C97)+C6*C153)/(C142*C96/(C96-2*C97)+C153)</f>
        <v>114.42586898531269</v>
      </c>
      <c r="E178" s="167"/>
    </row>
    <row r="179" spans="1:5">
      <c r="A179" s="131"/>
      <c r="C179" s="154" t="s">
        <v>809</v>
      </c>
      <c r="E179" s="167"/>
    </row>
    <row r="180" spans="1:5">
      <c r="A180" s="131"/>
      <c r="C180" s="167"/>
      <c r="E180" s="167"/>
    </row>
    <row r="181" spans="1:5">
      <c r="A181" s="131"/>
    </row>
    <row r="182" spans="1:5">
      <c r="A182" s="62" t="s">
        <v>736</v>
      </c>
      <c r="C182" s="167"/>
    </row>
    <row r="183" spans="1:5">
      <c r="A183" s="131"/>
    </row>
    <row r="184" spans="1:5" ht="45">
      <c r="A184" s="131" t="s">
        <v>748</v>
      </c>
      <c r="C184" s="124">
        <f>f_b_004_f_18_DzettaChessBundle(C96/1000,C101/1000,C102/1000,C118,C138)</f>
        <v>1.6534529175006096</v>
      </c>
      <c r="E184" s="124">
        <f>f_b_004_f_18_DzettaChessBundle(E96/1000,E101/1000,E102/1000,E118,E138)</f>
        <v>13.213434703926277</v>
      </c>
    </row>
    <row r="185" spans="1:5" ht="45">
      <c r="A185" s="131" t="s">
        <v>737</v>
      </c>
      <c r="C185" s="149">
        <v>2</v>
      </c>
      <c r="E185" s="149">
        <v>2</v>
      </c>
    </row>
    <row r="186" spans="1:5" ht="30">
      <c r="A186" s="131" t="s">
        <v>807</v>
      </c>
      <c r="B186" s="129" t="s">
        <v>271</v>
      </c>
      <c r="C186" s="124">
        <f>f_b_004_f_21_DragInnerTubeWashingAH(C96/1000,C97/1000,C185,C114,1,f_b_004_f_15_LambdaGidr(C149,C98/C96),C152,C145)</f>
        <v>266.99256049394029</v>
      </c>
      <c r="E186" s="124">
        <f>f_b_004_f_21_DragInnerTubeWashingAH(E96/1000,E97/1000,E185,E114,1,f_b_004_f_15_LambdaGidr(E149,E98/E96),E152,C145)</f>
        <v>129.44200190246119</v>
      </c>
    </row>
    <row r="187" spans="1:5" ht="30">
      <c r="A187" s="131" t="s">
        <v>810</v>
      </c>
      <c r="B187" s="129" t="s">
        <v>271</v>
      </c>
      <c r="C187" s="124">
        <f>f_b_004_f_22_DragOuterTubeWashingAH(C184,0,C112,C141,C134)</f>
        <v>20.339907748523245</v>
      </c>
      <c r="E187" s="124">
        <f>f_b_004_f_22_DragOuterTubeWashingAH(E184,0,E112,E141,C134)</f>
        <v>224.84576615195061</v>
      </c>
    </row>
    <row r="188" spans="1:5">
      <c r="A188" s="131"/>
    </row>
    <row r="189" spans="1:5" ht="30">
      <c r="A189" s="131" t="s">
        <v>808</v>
      </c>
    </row>
    <row r="190" spans="1:5">
      <c r="A190" s="131"/>
    </row>
    <row r="191" spans="1:5">
      <c r="A191" s="131"/>
    </row>
    <row r="192" spans="1:5">
      <c r="A192" s="131"/>
    </row>
    <row r="193" spans="1:1">
      <c r="A193" s="131"/>
    </row>
    <row r="194" spans="1:1">
      <c r="A194" s="131"/>
    </row>
    <row r="195" spans="1:1">
      <c r="A195" s="131"/>
    </row>
    <row r="196" spans="1:1">
      <c r="A196" s="131"/>
    </row>
    <row r="197" spans="1:1">
      <c r="A197" s="131"/>
    </row>
    <row r="198" spans="1:1">
      <c r="A198" s="131"/>
    </row>
    <row r="199" spans="1:1">
      <c r="A199" s="131"/>
    </row>
    <row r="200" spans="1:1">
      <c r="A200" s="131"/>
    </row>
    <row r="201" spans="1:1">
      <c r="A201" s="131"/>
    </row>
    <row r="202" spans="1:1">
      <c r="A202" s="131"/>
    </row>
    <row r="203" spans="1:1">
      <c r="A203" s="131"/>
    </row>
    <row r="204" spans="1:1">
      <c r="A204" s="131"/>
    </row>
    <row r="205" spans="1:1">
      <c r="A205" s="131"/>
    </row>
    <row r="206" spans="1:1">
      <c r="A206" s="131"/>
    </row>
    <row r="207" spans="1:1">
      <c r="A207" s="131"/>
    </row>
    <row r="208" spans="1:1">
      <c r="A208" s="131"/>
    </row>
    <row r="209" spans="1:1">
      <c r="A209" s="131"/>
    </row>
    <row r="210" spans="1:1">
      <c r="A210" s="131"/>
    </row>
    <row r="211" spans="1:1">
      <c r="A211" s="131"/>
    </row>
    <row r="212" spans="1:1">
      <c r="A212" s="131"/>
    </row>
    <row r="213" spans="1:1">
      <c r="A213" s="131"/>
    </row>
    <row r="214" spans="1:1">
      <c r="A214" s="131"/>
    </row>
    <row r="215" spans="1:1">
      <c r="A215" s="131"/>
    </row>
    <row r="216" spans="1:1">
      <c r="A216" s="131"/>
    </row>
    <row r="217" spans="1:1">
      <c r="A217" s="131"/>
    </row>
  </sheetData>
  <conditionalFormatting sqref="C17">
    <cfRule type="cellIs" dxfId="15" priority="2" operator="lessThanOrEqual">
      <formula>40</formula>
    </cfRule>
  </conditionalFormatting>
  <conditionalFormatting sqref="B103">
    <cfRule type="cellIs" dxfId="14" priority="1" operator="equal">
      <formula>9999999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4"/>
  <dimension ref="A1:G217"/>
  <sheetViews>
    <sheetView workbookViewId="0">
      <selection activeCell="E119" sqref="E119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2.570312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1.3</v>
      </c>
    </row>
    <row r="6" spans="1:7">
      <c r="A6" s="131" t="s">
        <v>652</v>
      </c>
      <c r="B6" s="129" t="s">
        <v>125</v>
      </c>
      <c r="C6" s="102">
        <v>1.3</v>
      </c>
    </row>
    <row r="7" spans="1:7">
      <c r="A7" s="131" t="s">
        <v>651</v>
      </c>
      <c r="B7" s="129" t="s">
        <v>125</v>
      </c>
      <c r="C7" s="102">
        <v>130</v>
      </c>
      <c r="D7" s="167">
        <f>C168</f>
        <v>173.90042009460885</v>
      </c>
      <c r="E7" s="167">
        <f>C7-D7</f>
        <v>-43.900420094608847</v>
      </c>
    </row>
    <row r="8" spans="1:7">
      <c r="A8" s="131" t="s">
        <v>503</v>
      </c>
      <c r="B8" s="129" t="s">
        <v>125</v>
      </c>
      <c r="C8" s="130">
        <f>C7</f>
        <v>130</v>
      </c>
      <c r="E8" s="21" t="s">
        <v>799</v>
      </c>
      <c r="F8" s="154">
        <f>C91</f>
        <v>213.79148155999809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130</v>
      </c>
    </row>
    <row r="10" spans="1:7">
      <c r="A10" s="131" t="s">
        <v>654</v>
      </c>
      <c r="B10" s="129" t="s">
        <v>125</v>
      </c>
      <c r="C10" s="130">
        <f>C6</f>
        <v>1.3</v>
      </c>
    </row>
    <row r="11" spans="1:7">
      <c r="A11" s="131" t="s">
        <v>681</v>
      </c>
      <c r="B11" s="129" t="s">
        <v>125</v>
      </c>
      <c r="C11" s="130">
        <f>0.5*(C7+C6)</f>
        <v>65.650000000000006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350</v>
      </c>
      <c r="D14" s="154">
        <f>f_b_000_Interpolate(D81,Fuel!E159:E183,Fuel!A159:A183)</f>
        <v>14.974124793918758</v>
      </c>
      <c r="E14" s="160">
        <f>C14-D14</f>
        <v>335.02587520608125</v>
      </c>
    </row>
    <row r="15" spans="1:7" ht="30">
      <c r="A15" s="131" t="s">
        <v>640</v>
      </c>
      <c r="B15" s="129" t="s">
        <v>125</v>
      </c>
      <c r="C15" s="102">
        <v>175</v>
      </c>
      <c r="D15" s="167">
        <f>C166</f>
        <v>110.82388430631839</v>
      </c>
      <c r="E15" s="167">
        <f>C15-D15</f>
        <v>64.176115693681609</v>
      </c>
    </row>
    <row r="16" spans="1:7">
      <c r="A16" s="131"/>
      <c r="C16" s="134"/>
      <c r="E16" s="21" t="s">
        <v>800</v>
      </c>
      <c r="F16" s="154">
        <f>C85</f>
        <v>217.66142564036289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220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 hidden="1">
      <c r="A19" s="153" t="s">
        <v>657</v>
      </c>
      <c r="C19" s="134"/>
    </row>
    <row r="20" spans="1:5" s="150" customFormat="1" hidden="1">
      <c r="A20" s="152" t="s">
        <v>658</v>
      </c>
      <c r="C20" s="130">
        <f>C28-C27+C31</f>
        <v>1.18</v>
      </c>
    </row>
    <row r="21" spans="1:5" s="150" customFormat="1" hidden="1">
      <c r="A21" s="152" t="s">
        <v>634</v>
      </c>
      <c r="C21" s="130">
        <f>C20-C31</f>
        <v>1.1499999999999999</v>
      </c>
    </row>
    <row r="22" spans="1:5" s="150" customFormat="1" hidden="1">
      <c r="A22" s="152" t="s">
        <v>659</v>
      </c>
      <c r="C22" s="155">
        <f>C20*(C6-C5)/(C7-C6)</f>
        <v>0</v>
      </c>
    </row>
    <row r="23" spans="1:5" s="150" customFormat="1" hidden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 hidden="1">
      <c r="A26" s="131" t="s">
        <v>497</v>
      </c>
      <c r="C26" s="130">
        <f>Fuel!B79</f>
        <v>1.1499999999999999</v>
      </c>
    </row>
    <row r="27" spans="1:5" hidden="1">
      <c r="A27" s="131" t="s">
        <v>498</v>
      </c>
      <c r="C27" s="130">
        <f>Fuel!B75</f>
        <v>0.05</v>
      </c>
    </row>
    <row r="28" spans="1:5" hidden="1">
      <c r="A28" s="131" t="s">
        <v>127</v>
      </c>
      <c r="C28" s="130">
        <f>C26+C27</f>
        <v>1.2</v>
      </c>
    </row>
    <row r="29" spans="1:5" hidden="1">
      <c r="A29" s="131" t="s">
        <v>549</v>
      </c>
      <c r="C29" s="130">
        <v>0</v>
      </c>
    </row>
    <row r="30" spans="1:5" ht="30" hidden="1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1.6222222222222222</v>
      </c>
      <c r="D34" s="147">
        <f>C73*Fuel!B88*C26</f>
        <v>1.2460865990494423</v>
      </c>
    </row>
    <row r="35" spans="1:4">
      <c r="A35" s="62"/>
      <c r="B35" s="129" t="s">
        <v>642</v>
      </c>
      <c r="C35" s="139">
        <v>5840</v>
      </c>
      <c r="D35" s="148">
        <f>D34*3600</f>
        <v>4485.9117565779925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1.711111111111111</v>
      </c>
      <c r="D49" s="154">
        <f>C73*Fuel!E107</f>
        <v>1.4463748970892674</v>
      </c>
    </row>
    <row r="50" spans="1:4">
      <c r="A50" s="62"/>
      <c r="B50" s="129" t="s">
        <v>642</v>
      </c>
      <c r="C50" s="139">
        <v>6160</v>
      </c>
      <c r="D50" s="148">
        <f>D49*3600</f>
        <v>5206.9496295213621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3.9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60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73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113.85628434782609</v>
      </c>
      <c r="D61" s="173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19.289578271600003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19.289578271600003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1934.3250508400001</v>
      </c>
    </row>
    <row r="65" spans="1:3" ht="30">
      <c r="A65" s="131" t="s">
        <v>501</v>
      </c>
      <c r="B65" s="129" t="s">
        <v>210</v>
      </c>
      <c r="C65" s="116">
        <f>C26*(C64-C62)</f>
        <v>2202.2907934536602</v>
      </c>
    </row>
    <row r="66" spans="1:3" ht="30">
      <c r="A66" s="131" t="s">
        <v>144</v>
      </c>
      <c r="B66" s="129" t="s">
        <v>210</v>
      </c>
      <c r="C66" s="116">
        <f>C58+C61+C65</f>
        <v>44992.111077801499</v>
      </c>
    </row>
    <row r="67" spans="1:3" ht="30">
      <c r="A67" s="131" t="s">
        <v>143</v>
      </c>
      <c r="B67" s="129" t="s">
        <v>502</v>
      </c>
      <c r="C67" s="102">
        <v>2.5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3645.038498981251</v>
      </c>
    </row>
    <row r="71" spans="1:3">
      <c r="A71" s="131" t="s">
        <v>140</v>
      </c>
      <c r="B71" s="129" t="s">
        <v>502</v>
      </c>
      <c r="C71" s="116">
        <f>(C70-C32*C62)*(100-C68)/C66</f>
        <v>8.0487717312155418</v>
      </c>
    </row>
    <row r="72" spans="1:3">
      <c r="A72" s="131" t="s">
        <v>139</v>
      </c>
      <c r="B72" s="129" t="s">
        <v>502</v>
      </c>
      <c r="C72" s="116">
        <f>100-C71-C69-C68-C67</f>
        <v>89.451228268784462</v>
      </c>
    </row>
    <row r="73" spans="1:3">
      <c r="A73" s="131" t="s">
        <v>138</v>
      </c>
      <c r="B73" s="129" t="s">
        <v>508</v>
      </c>
      <c r="C73" s="132">
        <f>C57*1000*100/C66/C72</f>
        <v>9.6904049824805008E-2</v>
      </c>
    </row>
    <row r="74" spans="1:3">
      <c r="A74" s="131"/>
      <c r="B74" s="129" t="s">
        <v>215</v>
      </c>
      <c r="C74" s="133">
        <f>C73*3600</f>
        <v>348.85457936929805</v>
      </c>
    </row>
    <row r="75" spans="1:3">
      <c r="A75" s="131"/>
      <c r="B75" s="129" t="s">
        <v>96</v>
      </c>
      <c r="C75" s="132">
        <f>C73*Fuel!B39</f>
        <v>8.8297235617870465E-2</v>
      </c>
    </row>
    <row r="76" spans="1:3">
      <c r="A76" s="131"/>
      <c r="B76" s="129" t="s">
        <v>95</v>
      </c>
      <c r="C76" s="133">
        <f>C75*3600</f>
        <v>317.87004822433369</v>
      </c>
    </row>
    <row r="77" spans="1:3">
      <c r="A77" s="131" t="s">
        <v>128</v>
      </c>
      <c r="C77" s="132">
        <f>1-(C67/(C67+C72))</f>
        <v>0.97281167367669952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856</v>
      </c>
      <c r="C81" s="116">
        <f>f_b_000_Interpolate2D(0.101,C14,'Stream 1'!C85:E85,'Stream 1'!C86:Z88,'Stream 1'!C107:Z109)</f>
        <v>288.92388059701494</v>
      </c>
      <c r="D81" s="154">
        <f>C91/C77+C82-C31*C83</f>
        <v>302.71948797732983</v>
      </c>
      <c r="E81" s="150"/>
    </row>
    <row r="82" spans="1:5">
      <c r="A82" s="131" t="s">
        <v>676</v>
      </c>
      <c r="B82" s="129" t="s">
        <v>856</v>
      </c>
      <c r="C82" s="116">
        <f>f_b_000_Interpolate2D(0.101,C15,'Stream 1'!C85:E85,'Stream 1'!C86:Z88,'Stream 1'!C107:Z109)</f>
        <v>84.910843373493975</v>
      </c>
    </row>
    <row r="83" spans="1:5">
      <c r="A83" s="131" t="s">
        <v>682</v>
      </c>
      <c r="B83" s="129" t="s">
        <v>856</v>
      </c>
      <c r="C83" s="116">
        <f>f_b_000_Interpolate2D(0.101,0.5*(C6+C7),'Stream 2'!C85:E85,'Stream 2'!C86:Z88,'Stream 2'!C107:Z109)</f>
        <v>65.264069542820351</v>
      </c>
    </row>
    <row r="84" spans="1:5">
      <c r="A84" s="131"/>
      <c r="C84" s="20"/>
    </row>
    <row r="85" spans="1:5">
      <c r="A85" s="131" t="s">
        <v>677</v>
      </c>
      <c r="B85" s="129" t="s">
        <v>678</v>
      </c>
      <c r="C85" s="116">
        <f>C77*(C81-C82+C31*C83)*C49*C134</f>
        <v>217.66142564036289</v>
      </c>
    </row>
    <row r="86" spans="1:5">
      <c r="A86" s="131"/>
      <c r="C86" s="42"/>
    </row>
    <row r="87" spans="1:5">
      <c r="A87" s="131"/>
      <c r="C87" s="41"/>
    </row>
    <row r="88" spans="1:5">
      <c r="A88" s="131" t="s">
        <v>637</v>
      </c>
      <c r="B88" s="129" t="s">
        <v>856</v>
      </c>
      <c r="C88" s="116">
        <f>f_b_000_Interpolate2D(0.101,C6,'Stream 2'!C85:E85,'Stream 2'!C86:Z88,'Stream 2'!C107:Z109)</f>
        <v>1.2826225334182049</v>
      </c>
    </row>
    <row r="89" spans="1:5">
      <c r="A89" s="131" t="s">
        <v>679</v>
      </c>
      <c r="B89" s="129" t="s">
        <v>856</v>
      </c>
      <c r="C89" s="116">
        <f>f_b_000_Interpolate2D(0.101,C7,'Stream 2'!C85:E85,'Stream 2'!C86:Z88,'Stream 2'!C107:Z109)</f>
        <v>129.94687500000001</v>
      </c>
    </row>
    <row r="90" spans="1:5">
      <c r="A90" s="131"/>
      <c r="C90" s="20"/>
    </row>
    <row r="91" spans="1:5">
      <c r="A91" s="131" t="s">
        <v>680</v>
      </c>
      <c r="B91" s="129" t="s">
        <v>678</v>
      </c>
      <c r="C91" s="116">
        <f>(C89-C88-C31*C83)*C34*C145</f>
        <v>213.79148155999809</v>
      </c>
    </row>
    <row r="92" spans="1:5">
      <c r="A92" s="131"/>
      <c r="C92" s="42"/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65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55</v>
      </c>
      <c r="F102" s="148">
        <f>f_b_004_f_10_s2MinAH(E96,E100,E101)</f>
        <v>52.799147720394124</v>
      </c>
    </row>
    <row r="103" spans="1:6">
      <c r="A103" s="131"/>
      <c r="B103" s="163">
        <f>C141</f>
        <v>12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109.8458969786641</v>
      </c>
    </row>
    <row r="106" spans="1:6">
      <c r="A106" s="129" t="s">
        <v>683</v>
      </c>
      <c r="B106" s="129" t="s">
        <v>249</v>
      </c>
      <c r="C106" s="149">
        <v>6</v>
      </c>
      <c r="D106" s="129" t="s">
        <v>686</v>
      </c>
    </row>
    <row r="107" spans="1:6" ht="30">
      <c r="A107" s="131" t="s">
        <v>684</v>
      </c>
      <c r="B107" s="129" t="s">
        <v>249</v>
      </c>
      <c r="C107" s="149">
        <v>12</v>
      </c>
      <c r="D107" s="129" t="s">
        <v>685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1.6</v>
      </c>
      <c r="D111" s="162"/>
      <c r="E111" s="149">
        <v>1.6</v>
      </c>
    </row>
    <row r="112" spans="1:6">
      <c r="A112" s="131" t="s">
        <v>627</v>
      </c>
      <c r="B112" s="129" t="s">
        <v>377</v>
      </c>
      <c r="C112" s="149">
        <v>3</v>
      </c>
      <c r="D112" s="154">
        <f>C162</f>
        <v>2.2329253970103951</v>
      </c>
      <c r="E112" s="149">
        <v>3</v>
      </c>
      <c r="F112" s="154">
        <f>E162</f>
        <v>2.2329253970103951</v>
      </c>
    </row>
    <row r="113" spans="1:6">
      <c r="A113" s="131" t="s">
        <v>802</v>
      </c>
      <c r="C113" s="156">
        <f>IF(C112&lt;=5,C112,5)</f>
        <v>3</v>
      </c>
      <c r="D113" s="160"/>
      <c r="E113" s="156">
        <f>IF(E112&lt;=5,E112,5)</f>
        <v>3</v>
      </c>
      <c r="F113" s="160"/>
    </row>
    <row r="114" spans="1:6">
      <c r="A114" s="131" t="s">
        <v>725</v>
      </c>
      <c r="B114" s="129" t="s">
        <v>152</v>
      </c>
      <c r="C114" s="156">
        <f>C111*C112</f>
        <v>4.8000000000000007</v>
      </c>
      <c r="D114" s="154">
        <f>C163</f>
        <v>3.7280145758782255</v>
      </c>
      <c r="E114" s="156">
        <f>E111*E112</f>
        <v>4.8000000000000007</v>
      </c>
      <c r="F114" s="154">
        <f>E163</f>
        <v>3.5726806352166327</v>
      </c>
    </row>
    <row r="115" spans="1:6">
      <c r="A115" s="131"/>
    </row>
    <row r="116" spans="1:6" ht="30">
      <c r="A116" s="131" t="s">
        <v>688</v>
      </c>
      <c r="B116" s="151">
        <f>C118*C117</f>
        <v>168</v>
      </c>
      <c r="C116" s="156">
        <f>f_b_004_f_11_nTubeAH(C50/3600,0.5*(C14+C15),C96/1000,C97/1000,C107)</f>
        <v>161</v>
      </c>
      <c r="D116" s="151">
        <f>f_b_004_f_11_nTubeAH(C50/3600,0.5*(C14+C15),E96/1000,E97/1000,C107)</f>
        <v>161</v>
      </c>
      <c r="E116" s="156">
        <f>E117*E118</f>
        <v>168</v>
      </c>
    </row>
    <row r="117" spans="1:6">
      <c r="A117" s="131" t="s">
        <v>689</v>
      </c>
      <c r="C117" s="156">
        <f>f_b_004_f_12_z1AH(C35/3600,0.5*(C6+C7),C96/1000,C101/1000,C111,C106)</f>
        <v>14</v>
      </c>
      <c r="D117" s="151">
        <f>f_b_004_f_12_z1AH(C35/3600,0.5*(C6+C7),E96/1000,E101/1000,E111,C106)</f>
        <v>14</v>
      </c>
      <c r="E117" s="149">
        <v>14</v>
      </c>
    </row>
    <row r="118" spans="1:6">
      <c r="A118" s="131" t="s">
        <v>690</v>
      </c>
      <c r="C118" s="156">
        <f>ROUND(C116/C117,0)</f>
        <v>12</v>
      </c>
      <c r="E118" s="149">
        <v>12</v>
      </c>
      <c r="F118" s="154">
        <f>D116/E117</f>
        <v>11.5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1.0275000000000001</v>
      </c>
      <c r="E120" s="121">
        <f>(E101*(E117-1)+(0.5*E96+E109)*2+E101/2)/1000</f>
        <v>1.0275000000000001</v>
      </c>
    </row>
    <row r="121" spans="1:6">
      <c r="A121" s="131" t="s">
        <v>693</v>
      </c>
      <c r="B121" s="129" t="s">
        <v>152</v>
      </c>
      <c r="C121" s="121">
        <f>(C102*(C118-1)+2*(C96/2+C109))/1000</f>
        <v>0.755</v>
      </c>
      <c r="E121" s="121">
        <f>(E102*(E118-1)+2*(E96/2+E109))/1000</f>
        <v>0.755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42.223005264246822</v>
      </c>
      <c r="E123" s="124">
        <f>PI()*(E96)/1000*E116*E111</f>
        <v>42.223005264246822</v>
      </c>
    </row>
    <row r="124" spans="1:6">
      <c r="A124" s="131" t="s">
        <v>695</v>
      </c>
      <c r="B124" s="129" t="s">
        <v>352</v>
      </c>
      <c r="C124" s="124">
        <f>C123*C112</f>
        <v>126.66901579274047</v>
      </c>
      <c r="D124" s="158">
        <f>C161</f>
        <v>94.280820792640341</v>
      </c>
      <c r="E124" s="124">
        <f>E123*E112</f>
        <v>126.66901579274047</v>
      </c>
      <c r="F124" s="158">
        <f>E161</f>
        <v>94.280820792640341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1491.5276609595189</v>
      </c>
      <c r="D126" s="160"/>
      <c r="E126" s="124">
        <f>7850*E124*E97/1000</f>
        <v>1491.5276609595189</v>
      </c>
      <c r="F126" s="160"/>
    </row>
    <row r="127" spans="1:6">
      <c r="A127" s="131" t="s">
        <v>729</v>
      </c>
      <c r="C127" s="168">
        <f>C120*C121*7850*16/1000*2</f>
        <v>194.87154000000001</v>
      </c>
      <c r="D127" s="168"/>
      <c r="E127" s="168">
        <f>E120*E121*7850*16/1000*2</f>
        <v>194.87154000000001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1491.5276609595189</v>
      </c>
      <c r="D129" s="160"/>
      <c r="E129" s="124">
        <f>E126</f>
        <v>1491.5276609595189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f_b_000_Interpolate2D(0.101,0.5*(C14+C15),'Stream 1'!C85:E85,'Stream 1'!C86:Z88,'Stream 1'!C113:Z115)</f>
        <v>0.63484615384615384</v>
      </c>
    </row>
    <row r="135" spans="1:6">
      <c r="A135" s="157" t="s">
        <v>708</v>
      </c>
      <c r="B135" s="129" t="s">
        <v>721</v>
      </c>
      <c r="C135" s="121">
        <f>f_b_000_Interpolate2D(0.101,0.5*(C14+C15),'Stream 1'!C85:E85,'Stream 1'!C86:Z88,'Stream 1'!C122:Z124)</f>
        <v>4.0131923076923079E-2</v>
      </c>
    </row>
    <row r="136" spans="1:6">
      <c r="A136" s="131" t="s">
        <v>1004</v>
      </c>
      <c r="B136" s="129" t="s">
        <v>1005</v>
      </c>
      <c r="C136" s="121">
        <f>f_b_000_Interpolate2D(0.101,0.5*(C14+C15),'Stream 1'!C85:E85,'Stream 1'!C86:Z88,'Stream 1'!C116:Z118)</f>
        <v>1.165773076923077</v>
      </c>
    </row>
    <row r="137" spans="1:6" ht="30">
      <c r="A137" s="131" t="s">
        <v>1007</v>
      </c>
      <c r="B137" s="129" t="s">
        <v>1008</v>
      </c>
      <c r="C137" s="165">
        <f>f_b_000_Interpolate2D(0.101,0.5*(C14+C15),'Stream 1'!C85:E85,'Stream 1'!C86:Z88,'Stream 1'!C119:Z121)</f>
        <v>2.5628846153846155E-2</v>
      </c>
    </row>
    <row r="138" spans="1:6">
      <c r="A138" s="137" t="s">
        <v>711</v>
      </c>
      <c r="C138" s="166">
        <f>f_b_004_f_20_Reynolds(C141,C96/1000,C137/C134/1000)</f>
        <v>14862.459668342466</v>
      </c>
      <c r="E138" s="166">
        <f>f_b_004_f_20_Reynolds(E141,E96/1000,C137/1000/C134)</f>
        <v>14862.459668342466</v>
      </c>
    </row>
    <row r="139" spans="1:6">
      <c r="A139" s="137" t="s">
        <v>712</v>
      </c>
      <c r="C139" s="121">
        <f>C136*C137/C135</f>
        <v>0.74448011827117522</v>
      </c>
    </row>
    <row r="140" spans="1:6">
      <c r="A140" s="137" t="s">
        <v>713</v>
      </c>
      <c r="C140" s="166">
        <f>C138*C139</f>
        <v>11064.805731688171</v>
      </c>
      <c r="E140" s="166">
        <f>E138*C139</f>
        <v>11064.805731688171</v>
      </c>
    </row>
    <row r="141" spans="1:6">
      <c r="A141" s="157" t="s">
        <v>706</v>
      </c>
      <c r="B141" s="129" t="s">
        <v>249</v>
      </c>
      <c r="C141" s="122">
        <f>f_b_004_f_13_w1AH(C96/1000,C97/1000,C117,C118,C50/3600,0.5*(C14+C15))</f>
        <v>12</v>
      </c>
      <c r="E141" s="122">
        <f>f_b_004_f_13_w1AH(E96/1000,E97/1000,E117,E118,C50/3600,0.5*(C14+C15))</f>
        <v>12</v>
      </c>
    </row>
    <row r="142" spans="1:6" ht="30">
      <c r="A142" s="137" t="s">
        <v>714</v>
      </c>
      <c r="B142" s="142" t="s">
        <v>614</v>
      </c>
      <c r="C142" s="161">
        <f>f_b_004_f_17_Alfa02(C138,C139,(C96-2*C97)/1000,C111,C98/C96,C135)</f>
        <v>30.167897476875137</v>
      </c>
      <c r="E142" s="161">
        <f>f_b_004_f_17_Alfa02(E138,C139,(E96-2*E97)/1000,E111,E98/E96,C135)</f>
        <v>30.167897476875137</v>
      </c>
    </row>
    <row r="143" spans="1:6">
      <c r="A143" s="137"/>
    </row>
    <row r="144" spans="1:6">
      <c r="A144" s="137" t="s">
        <v>705</v>
      </c>
    </row>
    <row r="145" spans="1:5">
      <c r="A145" s="131" t="s">
        <v>716</v>
      </c>
      <c r="B145" s="129" t="s">
        <v>207</v>
      </c>
      <c r="C145" s="121">
        <f>f_b_000_Interpolate2D(0.101,0.5*(C6+C7),'Stream 2'!C85:E85,'Stream 2'!C86:Z88,'Stream 2'!C113:Z115)</f>
        <v>1.0401159047005795</v>
      </c>
    </row>
    <row r="146" spans="1:5">
      <c r="A146" s="131" t="s">
        <v>717</v>
      </c>
      <c r="B146" s="129" t="s">
        <v>721</v>
      </c>
      <c r="C146" s="121">
        <f>f_b_000_Interpolate2D(0.101,0.5*(C6+C7),'Stream 2'!C85:E85,'Stream 2'!C86:Z88,'Stream 2'!C122:Z124)</f>
        <v>2.7397681905988409E-2</v>
      </c>
    </row>
    <row r="147" spans="1:5">
      <c r="A147" s="131" t="s">
        <v>1006</v>
      </c>
      <c r="B147" s="129" t="s">
        <v>1005</v>
      </c>
      <c r="C147" s="121">
        <f>f_b_000_Interpolate2D(0.101,0.5*(C6+C7),'Stream 2'!C85:E85,'Stream 2'!C86:Z88,'Stream 2'!C116:Z118)</f>
        <v>0.99959304571796526</v>
      </c>
    </row>
    <row r="148" spans="1:5">
      <c r="A148" s="131" t="s">
        <v>1009</v>
      </c>
      <c r="B148" s="129" t="s">
        <v>1008</v>
      </c>
      <c r="C148" s="165">
        <f>f_b_000_Interpolate2D(0.101,0.5*(C6+C7),'Stream 2'!C85:E85,'Stream 2'!C86:Z88,'Stream 2'!C119:Z121)</f>
        <v>2.0738377334191888E-2</v>
      </c>
    </row>
    <row r="149" spans="1:5">
      <c r="A149" s="137" t="s">
        <v>711</v>
      </c>
      <c r="C149" s="166">
        <f>f_b_004_f_20_Reynolds(C152,(C96-2*C97)/1000,C148/1000/C145)</f>
        <v>14116.209295640727</v>
      </c>
      <c r="E149" s="166">
        <f>f_b_004_f_20_Reynolds(E152,(E96-2*E97)/1000,C148/1000/C145)</f>
        <v>14116.209295640727</v>
      </c>
    </row>
    <row r="150" spans="1:5">
      <c r="A150" s="137" t="s">
        <v>712</v>
      </c>
      <c r="C150" s="121">
        <f>C147*C148/C146</f>
        <v>0.75663108411380853</v>
      </c>
    </row>
    <row r="151" spans="1:5">
      <c r="A151" s="137" t="s">
        <v>713</v>
      </c>
      <c r="C151" s="166">
        <f>C149*C150</f>
        <v>10680.762742938065</v>
      </c>
      <c r="E151" s="166">
        <f>E149*C150</f>
        <v>10680.762742938065</v>
      </c>
    </row>
    <row r="152" spans="1:5">
      <c r="A152" s="131" t="s">
        <v>719</v>
      </c>
      <c r="B152" s="129" t="s">
        <v>249</v>
      </c>
      <c r="C152" s="122">
        <f>f_b_004_f_14_w2AH(0,C96/1000,C101/1000,C102/1000,C111,C117,C35/3600,0.5*(C6+C7))</f>
        <v>5.9884339767188006</v>
      </c>
      <c r="E152" s="122">
        <f>f_b_004_f_14_w2AH(0,E96/1000,E101/1000,E102/1000,E111,E117,C35/3600,0.5*(C6+C7))</f>
        <v>5.9884339767188006</v>
      </c>
    </row>
    <row r="153" spans="1:5" ht="30">
      <c r="A153" s="137" t="s">
        <v>801</v>
      </c>
      <c r="B153" s="142" t="s">
        <v>715</v>
      </c>
      <c r="C153" s="161">
        <f>f_b_004_f_16_Alfa01(C149,C150,C96/1000,C101/1000,C102/1000,C118,C146)</f>
        <v>53.209373920069702</v>
      </c>
      <c r="E153" s="161">
        <f>f_b_004_f_16_Alfa01(E149,C150,E96/1000,E101/1000,E102/1000,E118,C146)</f>
        <v>53.209373920069702</v>
      </c>
    </row>
    <row r="154" spans="1:5">
      <c r="A154" s="131"/>
    </row>
    <row r="155" spans="1:5">
      <c r="A155" s="131" t="s">
        <v>703</v>
      </c>
      <c r="C155" s="149">
        <v>0.9</v>
      </c>
      <c r="E155" s="149">
        <v>0.9</v>
      </c>
    </row>
    <row r="156" spans="1:5">
      <c r="A156" s="137" t="s">
        <v>701</v>
      </c>
      <c r="B156" s="142" t="s">
        <v>702</v>
      </c>
      <c r="C156" s="161">
        <f>C155*C142/(1+C142/C153)</f>
        <v>17.32718544636106</v>
      </c>
      <c r="E156" s="161">
        <f>E155*E142/(1+E142/E153)</f>
        <v>17.32718544636106</v>
      </c>
    </row>
    <row r="157" spans="1:5">
      <c r="A157" s="131" t="s">
        <v>1010</v>
      </c>
      <c r="C157" s="149">
        <v>0</v>
      </c>
      <c r="E157" s="149">
        <v>0</v>
      </c>
    </row>
    <row r="158" spans="1:5" ht="30">
      <c r="A158" s="137" t="s">
        <v>698</v>
      </c>
      <c r="B158" s="142" t="s">
        <v>125</v>
      </c>
      <c r="C158" s="161">
        <f>f_b_004_f_33_dtlogAH(C157,C113,C14,C15,C6,C7)</f>
        <v>133.23860932920741</v>
      </c>
      <c r="E158" s="161">
        <f>f_b_004_f_33_dtlogAH(E157,E113,C14,C15,C6,C7)</f>
        <v>133.23860932920741</v>
      </c>
    </row>
    <row r="159" spans="1:5">
      <c r="A159" s="137" t="s">
        <v>704</v>
      </c>
      <c r="B159" s="142" t="s">
        <v>678</v>
      </c>
      <c r="C159" s="161">
        <f>C156*C158*C124/1000</f>
        <v>292.43443502203525</v>
      </c>
      <c r="D159" s="150"/>
      <c r="E159" s="161">
        <f>E156*E158*E124/1000</f>
        <v>292.43443502203525</v>
      </c>
    </row>
    <row r="160" spans="1:5">
      <c r="A160" s="131" t="s">
        <v>696</v>
      </c>
      <c r="B160" s="129" t="s">
        <v>678</v>
      </c>
      <c r="C160" s="124">
        <f>C85</f>
        <v>217.66142564036289</v>
      </c>
      <c r="E160" s="124">
        <f>C160</f>
        <v>217.66142564036289</v>
      </c>
    </row>
    <row r="161" spans="1:6">
      <c r="A161" s="131" t="s">
        <v>697</v>
      </c>
      <c r="B161" s="129" t="s">
        <v>352</v>
      </c>
      <c r="C161" s="124">
        <f>C160/C156/C158*1000</f>
        <v>94.280820792640341</v>
      </c>
      <c r="D161" s="154">
        <f>C124</f>
        <v>126.66901579274047</v>
      </c>
      <c r="E161" s="124">
        <f>E160/E156/E158*1000</f>
        <v>94.280820792640341</v>
      </c>
      <c r="F161" s="154">
        <f>E124</f>
        <v>126.66901579274047</v>
      </c>
    </row>
    <row r="162" spans="1:6">
      <c r="A162" s="131" t="s">
        <v>723</v>
      </c>
      <c r="C162" s="124">
        <f>C161/C123</f>
        <v>2.2329253970103951</v>
      </c>
      <c r="E162" s="124">
        <f>E161/E123</f>
        <v>2.2329253970103951</v>
      </c>
    </row>
    <row r="163" spans="1:6">
      <c r="A163" s="131" t="s">
        <v>724</v>
      </c>
      <c r="B163" s="129" t="s">
        <v>152</v>
      </c>
      <c r="C163" s="121">
        <f>C161*1000/PI()/C96/C116</f>
        <v>3.7280145758782255</v>
      </c>
      <c r="E163" s="121">
        <f>E161*1000/PI()/E96/E116</f>
        <v>3.5726806352166327</v>
      </c>
    </row>
    <row r="164" spans="1:6">
      <c r="A164" s="131"/>
    </row>
    <row r="165" spans="1:6">
      <c r="A165" s="131" t="s">
        <v>733</v>
      </c>
      <c r="B165" s="129" t="s">
        <v>856</v>
      </c>
      <c r="C165" s="167">
        <f>C81-C159/C77/C49/C134</f>
        <v>12.195925978950299</v>
      </c>
      <c r="E165" s="167">
        <f>E81-E159/C77/C49/C134</f>
        <v>-276.72795461806464</v>
      </c>
    </row>
    <row r="166" spans="1:6">
      <c r="A166" s="131" t="s">
        <v>732</v>
      </c>
      <c r="B166" s="129" t="s">
        <v>125</v>
      </c>
      <c r="C166" s="167">
        <f>f_b_000_Interpolate2D(0.101,C165,'Stream 1'!C85:E85,'Stream 1'!C107:Z109,'Stream 1'!C86:Z88)</f>
        <v>110.82388430631839</v>
      </c>
      <c r="E166" s="167">
        <f>f_b_000_Interpolate(E165,Fuel!F159:F183,Fuel!A159:A183)</f>
        <v>-13.393529632294957</v>
      </c>
    </row>
    <row r="167" spans="1:6">
      <c r="A167" s="131" t="s">
        <v>734</v>
      </c>
      <c r="B167" s="129" t="s">
        <v>856</v>
      </c>
      <c r="C167" s="167">
        <f>C159/C34/C145+C88</f>
        <v>174.59773250929896</v>
      </c>
      <c r="E167" s="167">
        <f>E159/C73/C23+C88</f>
        <v>2591.6458000906678</v>
      </c>
    </row>
    <row r="168" spans="1:6">
      <c r="A168" s="131" t="s">
        <v>735</v>
      </c>
      <c r="B168" s="129" t="s">
        <v>125</v>
      </c>
      <c r="C168" s="167">
        <f>f_b_000_Interpolate2D(0.101,C167,'Stream 2'!C85:E85,'Stream 2'!C107:Z109,'Stream 2'!C86:Z88)</f>
        <v>173.90042009460885</v>
      </c>
      <c r="E168" s="167">
        <f>f_b_000_Interpolate(E167,Fuel!B159:B183,Fuel!A159:A183)</f>
        <v>173.77164530602295</v>
      </c>
    </row>
    <row r="169" spans="1:6">
      <c r="A169" s="131"/>
      <c r="C169" s="167"/>
      <c r="E169" s="167"/>
    </row>
    <row r="170" spans="1:6">
      <c r="A170" s="62" t="s">
        <v>738</v>
      </c>
      <c r="C170" s="167"/>
      <c r="E170" s="167"/>
    </row>
    <row r="171" spans="1:6">
      <c r="A171" s="131"/>
      <c r="C171" s="167"/>
      <c r="E171" s="167"/>
    </row>
    <row r="172" spans="1:6">
      <c r="A172" s="131" t="s">
        <v>739</v>
      </c>
      <c r="B172" s="129" t="s">
        <v>740</v>
      </c>
      <c r="C172" s="167">
        <f>f_b_004_f_24_KLUniversal((C96)/1000,(C96-2*C97)/1000,C153,C142,45)</f>
        <v>2.9039511087219143</v>
      </c>
      <c r="D172" s="167"/>
      <c r="E172" s="167"/>
    </row>
    <row r="173" spans="1:6">
      <c r="A173" s="131" t="s">
        <v>741</v>
      </c>
      <c r="B173" s="129" t="s">
        <v>125</v>
      </c>
      <c r="C173" s="167">
        <f>C15-C6</f>
        <v>173.7</v>
      </c>
      <c r="E173" s="167"/>
    </row>
    <row r="174" spans="1:6">
      <c r="A174" s="131" t="s">
        <v>742</v>
      </c>
      <c r="B174" s="129" t="s">
        <v>743</v>
      </c>
      <c r="C174" s="167">
        <f>C172*C173</f>
        <v>504.4163075849965</v>
      </c>
      <c r="E174" s="167"/>
    </row>
    <row r="175" spans="1:6">
      <c r="A175" s="131" t="s">
        <v>744</v>
      </c>
      <c r="B175" s="129" t="s">
        <v>125</v>
      </c>
      <c r="C175" s="167">
        <f>C15-C174/(PI()*(C96-C97*2)/1000*C142)</f>
        <v>61.760916802792664</v>
      </c>
      <c r="E175" s="167"/>
    </row>
    <row r="176" spans="1:6">
      <c r="A176" s="131" t="s">
        <v>745</v>
      </c>
      <c r="B176" s="129" t="s">
        <v>125</v>
      </c>
      <c r="C176" s="167">
        <f>C6+C174/(PI()*(C96)/1000*C153)</f>
        <v>61.650530603055017</v>
      </c>
      <c r="E176" s="167"/>
    </row>
    <row r="177" spans="1:5" ht="30">
      <c r="A177" s="131" t="s">
        <v>746</v>
      </c>
      <c r="B177" s="129" t="s">
        <v>125</v>
      </c>
      <c r="C177" s="167">
        <v>180</v>
      </c>
      <c r="D177" s="129">
        <f>C6+0.5*(C15-C6)</f>
        <v>88.149999999999991</v>
      </c>
      <c r="E177" s="167"/>
    </row>
    <row r="178" spans="1:5">
      <c r="A178" s="131" t="s">
        <v>747</v>
      </c>
      <c r="B178" s="129" t="s">
        <v>125</v>
      </c>
      <c r="C178" s="167">
        <f>(C142*C177*C96/(C96-2*C97)+C6*C153)/(C142*C96/(C96-2*C97)+C153)</f>
        <v>68.532310859790627</v>
      </c>
      <c r="E178" s="167"/>
    </row>
    <row r="179" spans="1:5">
      <c r="A179" s="131"/>
      <c r="C179" s="154" t="s">
        <v>809</v>
      </c>
      <c r="E179" s="167"/>
    </row>
    <row r="180" spans="1:5">
      <c r="A180" s="131"/>
      <c r="C180" s="167"/>
      <c r="E180" s="167"/>
    </row>
    <row r="181" spans="1:5">
      <c r="A181" s="131"/>
    </row>
    <row r="182" spans="1:5">
      <c r="A182" s="62" t="s">
        <v>736</v>
      </c>
      <c r="C182" s="167"/>
    </row>
    <row r="183" spans="1:5">
      <c r="A183" s="131"/>
    </row>
    <row r="184" spans="1:5" ht="45">
      <c r="A184" s="131" t="s">
        <v>1011</v>
      </c>
      <c r="C184" s="124">
        <f>f_b_004_f_18_DzettaChessBundle(C96/1000,C101/1000,C102/1000,C118,C149)</f>
        <v>4.595213446075423</v>
      </c>
      <c r="E184" s="124">
        <f>f_b_004_f_18_DzettaChessBundle(E96/1000,E101/1000,E102/1000,E118,E149)</f>
        <v>4.595213446075423</v>
      </c>
    </row>
    <row r="185" spans="1:5" ht="45">
      <c r="A185" s="131" t="s">
        <v>811</v>
      </c>
      <c r="C185" s="149">
        <v>2</v>
      </c>
      <c r="E185" s="149">
        <v>2</v>
      </c>
    </row>
    <row r="186" spans="1:5" ht="30">
      <c r="A186" s="131" t="s">
        <v>807</v>
      </c>
      <c r="B186" s="129" t="s">
        <v>271</v>
      </c>
      <c r="C186" s="124">
        <f>f_b_004_f_22_DragOuterTubeWashingAH(C184,0,C112,C152,C145)</f>
        <v>257.10185904908843</v>
      </c>
      <c r="E186" s="124">
        <f>f_b_004_f_22_DragOuterTubeWashingAH(E184,0,E112,E152,C145)</f>
        <v>257.10185904908843</v>
      </c>
    </row>
    <row r="187" spans="1:5" ht="30">
      <c r="A187" s="131" t="s">
        <v>810</v>
      </c>
      <c r="B187" s="129" t="s">
        <v>271</v>
      </c>
      <c r="C187" s="124">
        <f>f_b_004_f_21_DragInnerTubeWashingAH(C96/1000,C97/1000,C185,C114,1,f_b_004_f_15_LambdaGidr(C138,C98/C96),C141,C134)</f>
        <v>234.51749053961368</v>
      </c>
      <c r="E187" s="124">
        <f>f_b_004_f_21_DragInnerTubeWashingAH(E96/1000,E97/1000,E185,E114,1,f_b_004_f_15_LambdaGidr(E138,E98/E96),E141,C134)</f>
        <v>234.51749053961368</v>
      </c>
    </row>
    <row r="188" spans="1:5">
      <c r="A188" s="131"/>
    </row>
    <row r="189" spans="1:5" ht="30">
      <c r="A189" s="131" t="s">
        <v>808</v>
      </c>
    </row>
    <row r="190" spans="1:5">
      <c r="A190" s="131"/>
    </row>
    <row r="191" spans="1:5">
      <c r="A191" s="131"/>
    </row>
    <row r="192" spans="1:5">
      <c r="A192" s="131"/>
    </row>
    <row r="193" spans="1:1">
      <c r="A193" s="131"/>
    </row>
    <row r="194" spans="1:1">
      <c r="A194" s="131"/>
    </row>
    <row r="195" spans="1:1">
      <c r="A195" s="131"/>
    </row>
    <row r="196" spans="1:1">
      <c r="A196" s="131"/>
    </row>
    <row r="197" spans="1:1">
      <c r="A197" s="131"/>
    </row>
    <row r="198" spans="1:1">
      <c r="A198" s="131"/>
    </row>
    <row r="199" spans="1:1">
      <c r="A199" s="131"/>
    </row>
    <row r="200" spans="1:1">
      <c r="A200" s="131"/>
    </row>
    <row r="201" spans="1:1">
      <c r="A201" s="131"/>
    </row>
    <row r="202" spans="1:1">
      <c r="A202" s="131"/>
    </row>
    <row r="203" spans="1:1">
      <c r="A203" s="131"/>
    </row>
    <row r="204" spans="1:1">
      <c r="A204" s="131"/>
    </row>
    <row r="205" spans="1:1">
      <c r="A205" s="131"/>
    </row>
    <row r="206" spans="1:1">
      <c r="A206" s="131"/>
    </row>
    <row r="207" spans="1:1">
      <c r="A207" s="131"/>
    </row>
    <row r="208" spans="1:1">
      <c r="A208" s="131"/>
    </row>
    <row r="209" spans="1:1">
      <c r="A209" s="131"/>
    </row>
    <row r="210" spans="1:1">
      <c r="A210" s="131"/>
    </row>
    <row r="211" spans="1:1">
      <c r="A211" s="131"/>
    </row>
    <row r="212" spans="1:1">
      <c r="A212" s="131"/>
    </row>
    <row r="213" spans="1:1">
      <c r="A213" s="131"/>
    </row>
    <row r="214" spans="1:1">
      <c r="A214" s="131"/>
    </row>
    <row r="215" spans="1:1">
      <c r="A215" s="131"/>
    </row>
    <row r="216" spans="1:1">
      <c r="A216" s="131"/>
    </row>
    <row r="217" spans="1:1">
      <c r="A217" s="131"/>
    </row>
  </sheetData>
  <conditionalFormatting sqref="C17">
    <cfRule type="cellIs" dxfId="13" priority="2" operator="lessThanOrEqual">
      <formula>40</formula>
    </cfRule>
  </conditionalFormatting>
  <conditionalFormatting sqref="B103">
    <cfRule type="cellIs" dxfId="12" priority="1" operator="equal">
      <formula>9999999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"/>
  <sheetViews>
    <sheetView workbookViewId="0">
      <selection activeCell="C24" sqref="C24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3"/>
  <dimension ref="A1:L28"/>
  <sheetViews>
    <sheetView zoomScale="85" zoomScaleNormal="85" workbookViewId="0">
      <selection activeCell="E28" sqref="E28"/>
    </sheetView>
  </sheetViews>
  <sheetFormatPr defaultRowHeight="15"/>
  <cols>
    <col min="1" max="1" width="48.140625" bestFit="1" customWidth="1"/>
    <col min="2" max="2" width="19" customWidth="1"/>
    <col min="3" max="5" width="14.140625" customWidth="1"/>
    <col min="6" max="11" width="0" hidden="1" customWidth="1"/>
    <col min="12" max="12" width="16.85546875" customWidth="1"/>
  </cols>
  <sheetData>
    <row r="1" spans="1:12" ht="18.75">
      <c r="A1" s="254" t="s">
        <v>233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</row>
    <row r="2" spans="1:12" ht="56.25">
      <c r="A2" s="25" t="s">
        <v>119</v>
      </c>
      <c r="B2" s="46" t="s">
        <v>234</v>
      </c>
      <c r="C2" s="25" t="s">
        <v>235</v>
      </c>
      <c r="D2" s="25"/>
      <c r="E2" s="25"/>
      <c r="F2" s="25"/>
      <c r="G2" s="25"/>
      <c r="H2" s="25"/>
      <c r="I2" s="25"/>
      <c r="J2" s="25"/>
      <c r="K2" s="27"/>
      <c r="L2" s="25" t="s">
        <v>118</v>
      </c>
    </row>
    <row r="3" spans="1:12" ht="18.75">
      <c r="A3" s="47" t="s">
        <v>236</v>
      </c>
      <c r="B3" s="46"/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/>
    </row>
    <row r="4" spans="1:12" ht="18.75">
      <c r="A4" s="47" t="s">
        <v>237</v>
      </c>
      <c r="B4" s="46"/>
      <c r="C4" s="48">
        <v>100</v>
      </c>
      <c r="D4" s="48">
        <v>100</v>
      </c>
      <c r="E4" s="48">
        <v>100</v>
      </c>
      <c r="F4" s="48"/>
      <c r="G4" s="48"/>
      <c r="H4" s="48"/>
      <c r="I4" s="48"/>
      <c r="J4" s="48"/>
      <c r="K4" s="49"/>
      <c r="L4" s="25"/>
    </row>
    <row r="5" spans="1:12" ht="18.75">
      <c r="A5" s="47" t="s">
        <v>238</v>
      </c>
      <c r="B5" s="46"/>
      <c r="C5" s="48">
        <v>-30</v>
      </c>
      <c r="D5" s="48">
        <v>4</v>
      </c>
      <c r="E5" s="48">
        <v>37</v>
      </c>
      <c r="F5" s="48"/>
      <c r="G5" s="48"/>
      <c r="H5" s="48"/>
      <c r="I5" s="48"/>
      <c r="J5" s="48"/>
      <c r="K5" s="49"/>
      <c r="L5" s="50" t="s">
        <v>239</v>
      </c>
    </row>
    <row r="6" spans="1:12" ht="18.75">
      <c r="A6" s="47" t="s">
        <v>240</v>
      </c>
      <c r="B6" s="51" t="s">
        <v>241</v>
      </c>
      <c r="C6" s="48">
        <v>31368</v>
      </c>
      <c r="D6" s="48">
        <v>31368</v>
      </c>
      <c r="E6" s="48">
        <v>5933</v>
      </c>
      <c r="F6" s="48">
        <v>68037</v>
      </c>
      <c r="G6" s="48">
        <v>68037</v>
      </c>
      <c r="H6" s="48">
        <v>68038</v>
      </c>
      <c r="I6" s="48">
        <v>68039</v>
      </c>
      <c r="J6" s="48">
        <v>68040</v>
      </c>
      <c r="K6" s="48">
        <v>68037</v>
      </c>
      <c r="L6" s="47" t="s">
        <v>95</v>
      </c>
    </row>
    <row r="7" spans="1:12" ht="18.75">
      <c r="A7" s="47"/>
      <c r="B7" s="51"/>
      <c r="C7" s="52">
        <f>C6/3600</f>
        <v>8.7133333333333329</v>
      </c>
      <c r="D7" s="52">
        <f t="shared" ref="D7:K7" si="0">D6/3600</f>
        <v>8.7133333333333329</v>
      </c>
      <c r="E7" s="52">
        <f t="shared" si="0"/>
        <v>1.6480555555555556</v>
      </c>
      <c r="F7" s="52">
        <f t="shared" si="0"/>
        <v>18.899166666666666</v>
      </c>
      <c r="G7" s="52">
        <f t="shared" si="0"/>
        <v>18.899166666666666</v>
      </c>
      <c r="H7" s="52">
        <f t="shared" si="0"/>
        <v>18.899444444444445</v>
      </c>
      <c r="I7" s="52">
        <f t="shared" si="0"/>
        <v>18.899722222222223</v>
      </c>
      <c r="J7" s="52">
        <f t="shared" si="0"/>
        <v>18.899999999999999</v>
      </c>
      <c r="K7" s="52">
        <f t="shared" si="0"/>
        <v>18.899166666666666</v>
      </c>
      <c r="L7" s="47" t="s">
        <v>96</v>
      </c>
    </row>
    <row r="8" spans="1:12" ht="18.75">
      <c r="A8" s="47" t="s">
        <v>242</v>
      </c>
      <c r="B8" s="51" t="s">
        <v>243</v>
      </c>
      <c r="C8" s="48">
        <v>360</v>
      </c>
      <c r="D8" s="48">
        <v>360</v>
      </c>
      <c r="E8" s="48">
        <v>400</v>
      </c>
      <c r="F8" s="48">
        <v>364</v>
      </c>
      <c r="G8" s="48">
        <v>364</v>
      </c>
      <c r="H8" s="48">
        <v>365</v>
      </c>
      <c r="I8" s="48">
        <v>366</v>
      </c>
      <c r="J8" s="48">
        <v>367</v>
      </c>
      <c r="K8" s="48">
        <v>364</v>
      </c>
      <c r="L8" s="50" t="s">
        <v>239</v>
      </c>
    </row>
    <row r="9" spans="1:12" ht="22.5">
      <c r="A9" s="47" t="s">
        <v>244</v>
      </c>
      <c r="B9" s="51" t="s">
        <v>245</v>
      </c>
      <c r="C9" s="53">
        <f>1.3*273.15/(273.15+C8)</f>
        <v>0.56083866382373837</v>
      </c>
      <c r="D9" s="53">
        <f t="shared" ref="D9:K9" si="1">1.3*273.15/(273.15+D8)</f>
        <v>0.56083866382373837</v>
      </c>
      <c r="E9" s="53">
        <f t="shared" si="1"/>
        <v>0.52751244150635068</v>
      </c>
      <c r="F9" s="53">
        <f t="shared" si="1"/>
        <v>0.55731774307462922</v>
      </c>
      <c r="G9" s="53">
        <f t="shared" si="1"/>
        <v>0.55731774307462922</v>
      </c>
      <c r="H9" s="53">
        <f t="shared" si="1"/>
        <v>0.55644440962156227</v>
      </c>
      <c r="I9" s="53">
        <f t="shared" si="1"/>
        <v>0.55557380896503161</v>
      </c>
      <c r="J9" s="53">
        <f t="shared" si="1"/>
        <v>0.5547059282980551</v>
      </c>
      <c r="K9" s="53">
        <f t="shared" si="1"/>
        <v>0.55731774307462922</v>
      </c>
      <c r="L9" s="47" t="s">
        <v>246</v>
      </c>
    </row>
    <row r="10" spans="1:12" ht="37.5">
      <c r="A10" s="54" t="s">
        <v>247</v>
      </c>
      <c r="B10" s="51" t="s">
        <v>248</v>
      </c>
      <c r="C10" s="25">
        <v>20</v>
      </c>
      <c r="D10" s="25">
        <v>20</v>
      </c>
      <c r="E10" s="25">
        <v>6</v>
      </c>
      <c r="F10" s="25">
        <v>20</v>
      </c>
      <c r="G10" s="25">
        <v>20</v>
      </c>
      <c r="H10" s="25">
        <v>21</v>
      </c>
      <c r="I10" s="25">
        <v>22</v>
      </c>
      <c r="J10" s="25">
        <v>23</v>
      </c>
      <c r="K10" s="25">
        <v>20</v>
      </c>
      <c r="L10" s="47" t="s">
        <v>249</v>
      </c>
    </row>
    <row r="11" spans="1:12" ht="20.25">
      <c r="A11" s="47" t="s">
        <v>250</v>
      </c>
      <c r="B11" s="51" t="s">
        <v>251</v>
      </c>
      <c r="C11" s="55">
        <f>SQRT(4*C7/(PI()*C10*C9))</f>
        <v>0.99451938508639814</v>
      </c>
      <c r="D11" s="55">
        <f t="shared" ref="D11:K11" si="2">SQRT(4*D7/(PI()*D10*D9))</f>
        <v>0.99451938508639814</v>
      </c>
      <c r="E11" s="55">
        <f t="shared" si="2"/>
        <v>0.81423357089061843</v>
      </c>
      <c r="F11" s="55">
        <f t="shared" si="2"/>
        <v>1.4692982255633218</v>
      </c>
      <c r="G11" s="55">
        <f t="shared" si="2"/>
        <v>1.4692982255633218</v>
      </c>
      <c r="H11" s="55">
        <f t="shared" si="2"/>
        <v>1.4350235861430658</v>
      </c>
      <c r="I11" s="55">
        <f t="shared" si="2"/>
        <v>1.4031385206061928</v>
      </c>
      <c r="J11" s="55">
        <f t="shared" si="2"/>
        <v>1.3733797504519754</v>
      </c>
      <c r="K11" s="55">
        <f t="shared" si="2"/>
        <v>1.4692982255633218</v>
      </c>
      <c r="L11" s="47" t="s">
        <v>152</v>
      </c>
    </row>
    <row r="12" spans="1:12" ht="20.25">
      <c r="A12" s="47" t="s">
        <v>252</v>
      </c>
      <c r="B12" s="51" t="s">
        <v>253</v>
      </c>
      <c r="C12" s="48">
        <v>1.2</v>
      </c>
      <c r="D12" s="48">
        <v>1.2</v>
      </c>
      <c r="E12" s="48">
        <v>0.9</v>
      </c>
      <c r="F12" s="48">
        <v>1.8</v>
      </c>
      <c r="G12" s="48">
        <v>1.8</v>
      </c>
      <c r="H12" s="48">
        <v>2.8</v>
      </c>
      <c r="I12" s="48">
        <v>3.8</v>
      </c>
      <c r="J12" s="48">
        <v>4.8</v>
      </c>
      <c r="K12" s="48">
        <v>1.8</v>
      </c>
      <c r="L12" s="47" t="s">
        <v>152</v>
      </c>
    </row>
    <row r="13" spans="1:12" ht="18.75">
      <c r="A13" s="47"/>
      <c r="B13" s="51"/>
      <c r="C13" s="25"/>
      <c r="D13" s="25"/>
      <c r="E13" s="25"/>
      <c r="F13" s="25"/>
      <c r="G13" s="25"/>
      <c r="H13" s="25"/>
      <c r="I13" s="25"/>
      <c r="J13" s="25"/>
      <c r="K13" s="27"/>
      <c r="L13" s="47"/>
    </row>
    <row r="14" spans="1:12" ht="18.75">
      <c r="A14" s="47"/>
      <c r="B14" s="51"/>
      <c r="C14" s="25"/>
      <c r="D14" s="25"/>
      <c r="E14" s="25"/>
      <c r="F14" s="25"/>
      <c r="G14" s="25"/>
      <c r="H14" s="25"/>
      <c r="I14" s="25"/>
      <c r="J14" s="25"/>
      <c r="K14" s="27"/>
      <c r="L14" s="47"/>
    </row>
    <row r="15" spans="1:12" ht="18.75">
      <c r="A15" s="255" t="s">
        <v>254</v>
      </c>
      <c r="B15" s="255"/>
      <c r="C15" s="255"/>
      <c r="D15" s="255"/>
      <c r="E15" s="255"/>
      <c r="F15" s="255"/>
      <c r="G15" s="255"/>
      <c r="H15" s="255"/>
      <c r="I15" s="255"/>
      <c r="J15" s="255"/>
      <c r="K15" s="255"/>
      <c r="L15" s="255"/>
    </row>
    <row r="16" spans="1:12" ht="20.25">
      <c r="A16" s="47" t="s">
        <v>250</v>
      </c>
      <c r="B16" s="51" t="s">
        <v>251</v>
      </c>
      <c r="C16" s="48">
        <v>1.5</v>
      </c>
      <c r="D16" s="48">
        <v>1.5</v>
      </c>
      <c r="E16" s="48">
        <v>0.8</v>
      </c>
      <c r="F16" s="25"/>
      <c r="G16" s="25"/>
      <c r="H16" s="25"/>
      <c r="I16" s="25"/>
      <c r="J16" s="25"/>
      <c r="K16" s="27"/>
      <c r="L16" s="47" t="s">
        <v>152</v>
      </c>
    </row>
    <row r="17" spans="1:12" ht="22.5">
      <c r="A17" s="47" t="s">
        <v>255</v>
      </c>
      <c r="B17" s="51" t="s">
        <v>256</v>
      </c>
      <c r="C17" s="55">
        <f>PI()*C16*C16/4</f>
        <v>1.7671458676442586</v>
      </c>
      <c r="D17" s="55">
        <f t="shared" ref="D17" si="3">PI()*D16*D16/4</f>
        <v>1.7671458676442586</v>
      </c>
      <c r="E17" s="55">
        <v>0.5</v>
      </c>
      <c r="F17" s="25"/>
      <c r="G17" s="25"/>
      <c r="H17" s="25"/>
      <c r="I17" s="25"/>
      <c r="J17" s="25"/>
      <c r="K17" s="27"/>
      <c r="L17" s="47" t="s">
        <v>257</v>
      </c>
    </row>
    <row r="18" spans="1:12" ht="18.75">
      <c r="A18" s="47" t="s">
        <v>258</v>
      </c>
      <c r="B18" s="51" t="s">
        <v>248</v>
      </c>
      <c r="C18" s="52">
        <f>C7/C9/C17</f>
        <v>8.7917227316678002</v>
      </c>
      <c r="D18" s="52">
        <f t="shared" ref="D18:E18" si="4">D7/D9/D17</f>
        <v>8.7917227316678002</v>
      </c>
      <c r="E18" s="52">
        <f t="shared" si="4"/>
        <v>6.2484044958234977</v>
      </c>
      <c r="F18" s="25"/>
      <c r="G18" s="25"/>
      <c r="H18" s="25"/>
      <c r="I18" s="25"/>
      <c r="J18" s="25"/>
      <c r="K18" s="27"/>
      <c r="L18" s="47" t="s">
        <v>249</v>
      </c>
    </row>
    <row r="19" spans="1:12" ht="18.75">
      <c r="A19" s="47" t="s">
        <v>259</v>
      </c>
      <c r="B19" s="51" t="s">
        <v>260</v>
      </c>
      <c r="C19" s="56">
        <v>2.3E-3</v>
      </c>
      <c r="D19" s="56">
        <v>2.3E-3</v>
      </c>
      <c r="E19" s="56">
        <v>2.3E-3</v>
      </c>
      <c r="F19" s="25"/>
      <c r="G19" s="25"/>
      <c r="H19" s="25"/>
      <c r="I19" s="25"/>
      <c r="J19" s="25"/>
      <c r="K19" s="27"/>
      <c r="L19" s="47" t="s">
        <v>152</v>
      </c>
    </row>
    <row r="20" spans="1:12" ht="18.75">
      <c r="A20" s="47" t="s">
        <v>261</v>
      </c>
      <c r="B20" s="51" t="s">
        <v>262</v>
      </c>
      <c r="C20" s="57">
        <f>1/(4*(LOG10(3.7*C16/C19)^2))</f>
        <v>2.1849810222087231E-2</v>
      </c>
      <c r="D20" s="57">
        <f t="shared" ref="D20:E20" si="5">1/(4*(LOG10(3.7*D16/D19)^2))</f>
        <v>2.1849810222087231E-2</v>
      </c>
      <c r="E20" s="57">
        <f t="shared" si="5"/>
        <v>2.5854791752007264E-2</v>
      </c>
      <c r="F20" s="25"/>
      <c r="G20" s="25"/>
      <c r="H20" s="25"/>
      <c r="I20" s="25"/>
      <c r="J20" s="25"/>
      <c r="K20" s="27"/>
      <c r="L20" s="47"/>
    </row>
    <row r="21" spans="1:12" ht="37.5">
      <c r="A21" s="54" t="s">
        <v>263</v>
      </c>
      <c r="B21" s="51" t="s">
        <v>264</v>
      </c>
      <c r="C21" s="48">
        <v>1.5</v>
      </c>
      <c r="D21" s="48">
        <v>1.5</v>
      </c>
      <c r="E21" s="48">
        <v>1.5</v>
      </c>
      <c r="F21" s="25"/>
      <c r="G21" s="25"/>
      <c r="H21" s="25"/>
      <c r="I21" s="25"/>
      <c r="J21" s="25"/>
      <c r="K21" s="27"/>
      <c r="L21" s="47"/>
    </row>
    <row r="22" spans="1:12" ht="18.75">
      <c r="A22" s="47" t="s">
        <v>265</v>
      </c>
      <c r="B22" s="51" t="s">
        <v>266</v>
      </c>
      <c r="C22" s="48">
        <v>15</v>
      </c>
      <c r="D22" s="48">
        <v>15</v>
      </c>
      <c r="E22" s="48">
        <v>15</v>
      </c>
      <c r="F22" s="25"/>
      <c r="G22" s="25"/>
      <c r="H22" s="25"/>
      <c r="I22" s="25"/>
      <c r="J22" s="25"/>
      <c r="K22" s="27"/>
      <c r="L22" s="47" t="s">
        <v>152</v>
      </c>
    </row>
    <row r="23" spans="1:12" ht="18.75">
      <c r="A23" s="47" t="s">
        <v>267</v>
      </c>
      <c r="B23" s="51" t="s">
        <v>268</v>
      </c>
      <c r="C23" s="48">
        <v>15</v>
      </c>
      <c r="D23" s="48">
        <v>15</v>
      </c>
      <c r="E23" s="48">
        <v>15</v>
      </c>
      <c r="F23" s="25"/>
      <c r="G23" s="25"/>
      <c r="H23" s="25"/>
      <c r="I23" s="25"/>
      <c r="J23" s="25"/>
      <c r="K23" s="27"/>
      <c r="L23" s="47" t="s">
        <v>152</v>
      </c>
    </row>
    <row r="24" spans="1:12" ht="20.25">
      <c r="A24" s="47" t="s">
        <v>269</v>
      </c>
      <c r="B24" s="51" t="s">
        <v>270</v>
      </c>
      <c r="C24" s="52">
        <f>C20*C22/C16*C18*C18/2*C9</f>
        <v>4.7359115827259517</v>
      </c>
      <c r="D24" s="52">
        <f t="shared" ref="D24:E24" si="6">D20*D22/D16*D18*D18/2*D9</f>
        <v>4.7359115827259517</v>
      </c>
      <c r="E24" s="52">
        <f t="shared" si="6"/>
        <v>4.9921002704712132</v>
      </c>
      <c r="F24" s="25"/>
      <c r="G24" s="25"/>
      <c r="H24" s="25"/>
      <c r="I24" s="25"/>
      <c r="J24" s="25"/>
      <c r="K24" s="27"/>
      <c r="L24" s="47" t="s">
        <v>271</v>
      </c>
    </row>
    <row r="25" spans="1:12" ht="37.5">
      <c r="A25" s="54" t="s">
        <v>272</v>
      </c>
      <c r="B25" s="51" t="s">
        <v>273</v>
      </c>
      <c r="C25" s="52">
        <f>C21*C18*C18/2*C9</f>
        <v>32.512261213636855</v>
      </c>
      <c r="D25" s="52">
        <f t="shared" ref="D25:E25" si="7">D21*D18*D18/2*D9</f>
        <v>32.512261213636855</v>
      </c>
      <c r="E25" s="52">
        <f t="shared" si="7"/>
        <v>15.446576614050342</v>
      </c>
      <c r="F25" s="25"/>
      <c r="G25" s="25"/>
      <c r="H25" s="25"/>
      <c r="I25" s="25"/>
      <c r="J25" s="25"/>
      <c r="K25" s="27"/>
      <c r="L25" s="47" t="s">
        <v>271</v>
      </c>
    </row>
    <row r="26" spans="1:12" ht="22.5">
      <c r="A26" s="54" t="s">
        <v>274</v>
      </c>
      <c r="B26" s="51" t="s">
        <v>245</v>
      </c>
      <c r="C26" s="52">
        <f>1.29*273.15/(273.15+C5)</f>
        <v>1.44916101172116</v>
      </c>
      <c r="D26" s="52">
        <f t="shared" ref="D26:E26" si="8">1.29*273.15/(273.15+D5)</f>
        <v>1.2713819231463108</v>
      </c>
      <c r="E26" s="52">
        <f t="shared" si="8"/>
        <v>1.1361067225536032</v>
      </c>
      <c r="F26" s="25"/>
      <c r="G26" s="25"/>
      <c r="H26" s="25"/>
      <c r="I26" s="25"/>
      <c r="J26" s="25"/>
      <c r="K26" s="27"/>
      <c r="L26" s="47" t="s">
        <v>246</v>
      </c>
    </row>
    <row r="27" spans="1:12" ht="20.25">
      <c r="A27" s="47" t="s">
        <v>275</v>
      </c>
      <c r="B27" s="51" t="s">
        <v>276</v>
      </c>
      <c r="C27" s="52">
        <f>9.8*C23*(C26-C9)</f>
        <v>130.58338514092097</v>
      </c>
      <c r="D27" s="52">
        <f t="shared" ref="D27:E27" si="9">9.8*D23*(D26-D9)</f>
        <v>104.44985912041815</v>
      </c>
      <c r="E27" s="52">
        <f t="shared" si="9"/>
        <v>89.463359313946128</v>
      </c>
      <c r="F27" s="25"/>
      <c r="G27" s="25"/>
      <c r="H27" s="25"/>
      <c r="I27" s="25"/>
      <c r="J27" s="25"/>
      <c r="K27" s="27"/>
      <c r="L27" s="47" t="s">
        <v>271</v>
      </c>
    </row>
    <row r="28" spans="1:12" ht="18.75">
      <c r="A28" s="47" t="s">
        <v>277</v>
      </c>
      <c r="B28" s="51" t="s">
        <v>278</v>
      </c>
      <c r="C28" s="52">
        <f>C24+C25-C27</f>
        <v>-93.335212344558158</v>
      </c>
      <c r="D28" s="52">
        <f t="shared" ref="D28:E28" si="10">D24+D25-D27</f>
        <v>-67.201686324055345</v>
      </c>
      <c r="E28" s="52">
        <f t="shared" si="10"/>
        <v>-69.024682429424573</v>
      </c>
      <c r="F28" s="25"/>
      <c r="G28" s="25"/>
      <c r="H28" s="25"/>
      <c r="I28" s="25"/>
      <c r="J28" s="25"/>
      <c r="K28" s="27"/>
      <c r="L28" s="47" t="s">
        <v>271</v>
      </c>
    </row>
  </sheetData>
  <mergeCells count="2">
    <mergeCell ref="A1:L1"/>
    <mergeCell ref="A15:L1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5"/>
  <dimension ref="A1:G144"/>
  <sheetViews>
    <sheetView topLeftCell="A13" workbookViewId="0">
      <selection sqref="A1:C7"/>
    </sheetView>
  </sheetViews>
  <sheetFormatPr defaultRowHeight="15"/>
  <cols>
    <col min="1" max="1" width="40.5703125" bestFit="1" customWidth="1"/>
    <col min="2" max="2" width="12.85546875" bestFit="1" customWidth="1"/>
    <col min="3" max="3" width="9.7109375" bestFit="1" customWidth="1"/>
  </cols>
  <sheetData>
    <row r="1" spans="1:5">
      <c r="A1" s="17" t="s">
        <v>119</v>
      </c>
      <c r="B1" s="16" t="s">
        <v>118</v>
      </c>
      <c r="C1" s="19" t="s">
        <v>120</v>
      </c>
      <c r="E1" t="s">
        <v>458</v>
      </c>
    </row>
    <row r="2" spans="1:5">
      <c r="A2" s="17"/>
      <c r="B2" s="16"/>
      <c r="C2" s="19"/>
    </row>
    <row r="3" spans="1:5" s="6" customFormat="1">
      <c r="A3" s="43" t="s">
        <v>374</v>
      </c>
      <c r="C3" s="19"/>
    </row>
    <row r="4" spans="1:5">
      <c r="A4" s="7" t="s">
        <v>293</v>
      </c>
      <c r="B4" t="s">
        <v>113</v>
      </c>
      <c r="C4" s="109">
        <v>108</v>
      </c>
      <c r="D4" s="66"/>
    </row>
    <row r="5" spans="1:5">
      <c r="A5" s="7" t="s">
        <v>294</v>
      </c>
      <c r="B5" t="s">
        <v>113</v>
      </c>
      <c r="C5" s="109">
        <v>6</v>
      </c>
      <c r="D5" s="66"/>
    </row>
    <row r="6" spans="1:5">
      <c r="A6" s="7" t="s">
        <v>376</v>
      </c>
      <c r="B6" t="s">
        <v>113</v>
      </c>
      <c r="C6" s="109">
        <v>3900</v>
      </c>
      <c r="D6" s="66"/>
    </row>
    <row r="7" spans="1:5">
      <c r="A7" s="7" t="s">
        <v>295</v>
      </c>
      <c r="B7" t="s">
        <v>207</v>
      </c>
      <c r="C7" s="119">
        <v>7850</v>
      </c>
      <c r="D7" s="66"/>
    </row>
    <row r="8" spans="1:5">
      <c r="A8" s="7" t="s">
        <v>296</v>
      </c>
      <c r="B8" t="s">
        <v>113</v>
      </c>
      <c r="C8" s="109">
        <v>200</v>
      </c>
      <c r="D8" s="66"/>
    </row>
    <row r="9" spans="1:5">
      <c r="A9" s="7" t="s">
        <v>378</v>
      </c>
      <c r="B9" t="s">
        <v>377</v>
      </c>
      <c r="C9" s="109">
        <v>26</v>
      </c>
      <c r="D9" s="66"/>
    </row>
    <row r="10" spans="1:5">
      <c r="A10" s="7"/>
      <c r="C10" s="110"/>
    </row>
    <row r="11" spans="1:5">
      <c r="A11" s="7" t="s">
        <v>375</v>
      </c>
      <c r="B11" t="s">
        <v>172</v>
      </c>
      <c r="C11" s="116">
        <f>PI()*C4/1000*C9*(C6/1000+PI()*C8/1000*0.5)*C5/1000*C7</f>
        <v>1750.9704954778483</v>
      </c>
      <c r="E11" s="117">
        <v>1800</v>
      </c>
    </row>
    <row r="12" spans="1:5">
      <c r="A12" s="7"/>
      <c r="C12" s="20"/>
    </row>
    <row r="13" spans="1:5">
      <c r="A13" s="43" t="s">
        <v>379</v>
      </c>
      <c r="C13" s="20"/>
    </row>
    <row r="14" spans="1:5">
      <c r="A14" s="7" t="s">
        <v>293</v>
      </c>
      <c r="B14" t="s">
        <v>113</v>
      </c>
      <c r="C14" s="109">
        <v>108</v>
      </c>
      <c r="D14" s="66"/>
    </row>
    <row r="15" spans="1:5">
      <c r="A15" s="7" t="s">
        <v>294</v>
      </c>
      <c r="B15" t="s">
        <v>113</v>
      </c>
      <c r="C15" s="109">
        <v>6</v>
      </c>
      <c r="D15" s="66"/>
    </row>
    <row r="16" spans="1:5">
      <c r="A16" s="7" t="s">
        <v>376</v>
      </c>
      <c r="B16" t="s">
        <v>113</v>
      </c>
      <c r="C16" s="109">
        <v>2300</v>
      </c>
      <c r="D16" s="66"/>
    </row>
    <row r="17" spans="1:5">
      <c r="A17" s="7" t="s">
        <v>295</v>
      </c>
      <c r="B17" t="s">
        <v>207</v>
      </c>
      <c r="C17" s="119">
        <v>7850</v>
      </c>
      <c r="D17" s="66"/>
    </row>
    <row r="18" spans="1:5">
      <c r="A18" s="7" t="s">
        <v>296</v>
      </c>
      <c r="B18" t="s">
        <v>113</v>
      </c>
      <c r="C18" s="109">
        <v>200</v>
      </c>
      <c r="D18" s="66"/>
    </row>
    <row r="19" spans="1:5">
      <c r="A19" s="7" t="s">
        <v>380</v>
      </c>
      <c r="B19" t="s">
        <v>377</v>
      </c>
      <c r="C19" s="109">
        <v>28</v>
      </c>
      <c r="D19" s="66"/>
    </row>
    <row r="20" spans="1:5">
      <c r="A20" s="7"/>
      <c r="C20" s="110"/>
    </row>
    <row r="21" spans="1:5">
      <c r="A21" s="7" t="s">
        <v>375</v>
      </c>
      <c r="B21" t="s">
        <v>172</v>
      </c>
      <c r="C21" s="116">
        <f>PI()*C14/1000*C19*(C16/1000+PI()*C18/1000*0.5)*C15/1000*C17</f>
        <v>1169.7272563309598</v>
      </c>
      <c r="E21" s="117">
        <v>1200</v>
      </c>
    </row>
    <row r="22" spans="1:5">
      <c r="A22" s="7"/>
      <c r="C22" s="20"/>
    </row>
    <row r="23" spans="1:5">
      <c r="A23" s="43" t="s">
        <v>383</v>
      </c>
      <c r="C23" s="20"/>
    </row>
    <row r="24" spans="1:5">
      <c r="A24" s="7" t="s">
        <v>381</v>
      </c>
      <c r="B24" s="81" t="s">
        <v>113</v>
      </c>
      <c r="C24" s="101">
        <v>108</v>
      </c>
    </row>
    <row r="25" spans="1:5">
      <c r="A25" s="7" t="s">
        <v>363</v>
      </c>
      <c r="B25" s="81" t="s">
        <v>113</v>
      </c>
      <c r="C25" s="102">
        <v>26</v>
      </c>
    </row>
    <row r="26" spans="1:5">
      <c r="A26" s="98" t="s">
        <v>364</v>
      </c>
      <c r="B26" s="81" t="s">
        <v>113</v>
      </c>
      <c r="C26" s="104">
        <f>C24+C25</f>
        <v>134</v>
      </c>
    </row>
    <row r="27" spans="1:5">
      <c r="A27" s="7" t="s">
        <v>366</v>
      </c>
      <c r="B27" s="81" t="s">
        <v>113</v>
      </c>
      <c r="C27" s="103">
        <v>6</v>
      </c>
    </row>
    <row r="28" spans="1:5">
      <c r="A28" s="7" t="s">
        <v>367</v>
      </c>
      <c r="B28" s="81" t="s">
        <v>377</v>
      </c>
      <c r="C28" s="103">
        <v>166</v>
      </c>
      <c r="D28" s="105">
        <f>1000/C27</f>
        <v>166.66666666666666</v>
      </c>
    </row>
    <row r="29" spans="1:5">
      <c r="A29" s="7" t="s">
        <v>370</v>
      </c>
      <c r="B29" s="81" t="s">
        <v>377</v>
      </c>
      <c r="C29" s="103">
        <v>4</v>
      </c>
      <c r="D29" s="9"/>
    </row>
    <row r="30" spans="1:5">
      <c r="A30" s="7" t="s">
        <v>371</v>
      </c>
      <c r="B30" s="81" t="s">
        <v>377</v>
      </c>
      <c r="C30" s="103">
        <v>4</v>
      </c>
      <c r="D30" s="9"/>
    </row>
    <row r="31" spans="1:5">
      <c r="A31" s="7" t="s">
        <v>368</v>
      </c>
      <c r="B31" s="81" t="s">
        <v>377</v>
      </c>
      <c r="C31" s="104">
        <f>C29*C30</f>
        <v>16</v>
      </c>
      <c r="D31" s="9"/>
    </row>
    <row r="32" spans="1:5">
      <c r="A32" s="7" t="s">
        <v>369</v>
      </c>
      <c r="B32" s="81" t="s">
        <v>152</v>
      </c>
      <c r="C32" s="103">
        <v>2.2000000000000002</v>
      </c>
      <c r="D32" s="9"/>
    </row>
    <row r="33" spans="1:5">
      <c r="A33" s="98" t="s">
        <v>365</v>
      </c>
      <c r="B33" t="s">
        <v>152</v>
      </c>
      <c r="C33" s="104">
        <f>PI()*C26/1000*C28*C32*C31</f>
        <v>2459.8318619230881</v>
      </c>
    </row>
    <row r="34" spans="1:5">
      <c r="A34" s="7" t="s">
        <v>372</v>
      </c>
      <c r="B34" t="s">
        <v>113</v>
      </c>
      <c r="C34" s="106">
        <v>1.2</v>
      </c>
    </row>
    <row r="35" spans="1:5">
      <c r="A35" s="7"/>
      <c r="C35" s="111"/>
    </row>
    <row r="36" spans="1:5">
      <c r="A36" s="7" t="s">
        <v>373</v>
      </c>
      <c r="B36" t="s">
        <v>172</v>
      </c>
      <c r="C36" s="116">
        <f>7850*C33*C34/1000*C25/1000</f>
        <v>602.46201962220277</v>
      </c>
      <c r="E36" s="117">
        <v>600</v>
      </c>
    </row>
    <row r="37" spans="1:5">
      <c r="A37" s="7"/>
      <c r="B37" s="81"/>
      <c r="C37" s="99"/>
    </row>
    <row r="38" spans="1:5">
      <c r="A38" s="43" t="s">
        <v>382</v>
      </c>
      <c r="B38" s="6"/>
      <c r="C38" s="100"/>
    </row>
    <row r="39" spans="1:5">
      <c r="A39" s="43" t="s">
        <v>386</v>
      </c>
      <c r="B39" s="6"/>
      <c r="C39" s="100"/>
    </row>
    <row r="40" spans="1:5">
      <c r="A40" s="7" t="s">
        <v>384</v>
      </c>
      <c r="B40" s="81" t="s">
        <v>152</v>
      </c>
      <c r="C40" s="220">
        <f>C9*C8/1000/PI()+3*C4/1000</f>
        <v>1.9792114081557117</v>
      </c>
    </row>
    <row r="41" spans="1:5">
      <c r="A41" s="7" t="s">
        <v>385</v>
      </c>
      <c r="B41" s="81" t="s">
        <v>152</v>
      </c>
      <c r="C41" s="220">
        <f>C6/1000+0.3+C4/2/1000+C8/1000+1.5*C4/1000</f>
        <v>4.6160000000000005</v>
      </c>
    </row>
    <row r="42" spans="1:5">
      <c r="A42" s="7"/>
      <c r="B42" s="81"/>
      <c r="C42" s="112"/>
    </row>
    <row r="43" spans="1:5">
      <c r="A43" s="7" t="s">
        <v>406</v>
      </c>
      <c r="B43" t="s">
        <v>152</v>
      </c>
      <c r="C43" s="103">
        <v>1.7</v>
      </c>
    </row>
    <row r="44" spans="1:5">
      <c r="A44" s="7" t="s">
        <v>407</v>
      </c>
      <c r="B44" t="s">
        <v>152</v>
      </c>
      <c r="C44" s="103">
        <v>0.8</v>
      </c>
    </row>
    <row r="45" spans="1:5">
      <c r="A45" s="7"/>
      <c r="B45" s="81"/>
      <c r="C45" s="112"/>
    </row>
    <row r="46" spans="1:5">
      <c r="A46" s="7" t="s">
        <v>387</v>
      </c>
      <c r="B46" t="s">
        <v>113</v>
      </c>
      <c r="C46" s="103">
        <v>8</v>
      </c>
    </row>
    <row r="47" spans="1:5">
      <c r="A47" s="7" t="s">
        <v>388</v>
      </c>
      <c r="B47" t="s">
        <v>113</v>
      </c>
      <c r="C47" s="103">
        <v>6</v>
      </c>
    </row>
    <row r="48" spans="1:5">
      <c r="A48" s="7" t="s">
        <v>389</v>
      </c>
      <c r="B48" t="s">
        <v>113</v>
      </c>
      <c r="C48" s="103">
        <v>8</v>
      </c>
    </row>
    <row r="49" spans="1:3">
      <c r="A49" s="7" t="s">
        <v>394</v>
      </c>
      <c r="B49" t="s">
        <v>113</v>
      </c>
      <c r="C49" s="103">
        <v>300</v>
      </c>
    </row>
    <row r="50" spans="1:3" ht="30">
      <c r="A50" s="7" t="s">
        <v>395</v>
      </c>
      <c r="B50" t="s">
        <v>113</v>
      </c>
      <c r="C50" s="103">
        <v>200</v>
      </c>
    </row>
    <row r="51" spans="1:3" ht="30">
      <c r="A51" s="7" t="s">
        <v>396</v>
      </c>
      <c r="B51" t="s">
        <v>113</v>
      </c>
      <c r="C51" s="103">
        <v>200</v>
      </c>
    </row>
    <row r="52" spans="1:3">
      <c r="A52" s="7" t="s">
        <v>397</v>
      </c>
      <c r="B52" t="s">
        <v>113</v>
      </c>
      <c r="C52" s="103">
        <v>200</v>
      </c>
    </row>
    <row r="53" spans="1:3">
      <c r="A53" s="7"/>
      <c r="B53" s="81"/>
      <c r="C53" s="112"/>
    </row>
    <row r="54" spans="1:3">
      <c r="A54" s="7" t="s">
        <v>390</v>
      </c>
      <c r="B54" s="81" t="s">
        <v>207</v>
      </c>
      <c r="C54" s="103">
        <v>7850</v>
      </c>
    </row>
    <row r="55" spans="1:3">
      <c r="A55" s="7"/>
      <c r="B55" s="81"/>
      <c r="C55" s="112"/>
    </row>
    <row r="56" spans="1:3">
      <c r="A56" s="7" t="s">
        <v>391</v>
      </c>
      <c r="B56" s="81" t="s">
        <v>207</v>
      </c>
      <c r="C56" s="103">
        <v>1000</v>
      </c>
    </row>
    <row r="57" spans="1:3">
      <c r="A57" s="7" t="s">
        <v>392</v>
      </c>
      <c r="B57" s="81" t="s">
        <v>207</v>
      </c>
      <c r="C57" s="101">
        <v>160</v>
      </c>
    </row>
    <row r="58" spans="1:3">
      <c r="A58" s="7" t="s">
        <v>393</v>
      </c>
      <c r="B58" s="81" t="s">
        <v>207</v>
      </c>
      <c r="C58" s="101">
        <v>160</v>
      </c>
    </row>
    <row r="59" spans="1:3">
      <c r="A59" s="43"/>
      <c r="B59" s="6"/>
      <c r="C59" s="100"/>
    </row>
    <row r="60" spans="1:3">
      <c r="A60" s="7" t="s">
        <v>398</v>
      </c>
      <c r="B60" s="113" t="s">
        <v>172</v>
      </c>
      <c r="C60" s="105">
        <f>(C40+2*C50/1000+2*C47/1000)*(C40+2*C50/1000+2*C47/1000)*0.25*PI()*C46/1000*C54</f>
        <v>282.02361369487227</v>
      </c>
    </row>
    <row r="61" spans="1:3">
      <c r="A61" s="7" t="s">
        <v>399</v>
      </c>
      <c r="B61" s="114" t="s">
        <v>172</v>
      </c>
      <c r="C61" s="105">
        <f>(C41+C49/1000+C52/1000+C46/1000+C48/1000)*(C40+2*C50/1000+C47/1000)*PI()*C47/1000*C54</f>
        <v>1811.274635229395</v>
      </c>
    </row>
    <row r="62" spans="1:3">
      <c r="A62" s="7" t="s">
        <v>400</v>
      </c>
      <c r="B62" s="114" t="s">
        <v>172</v>
      </c>
      <c r="C62" s="105">
        <f>((C40+2*C50/1000+2*C47/1000)*(C40+2*C50/1000+2*C47/1000)*0.25*PI()-C43*C44)*C48/1000*C54</f>
        <v>196.61561369487225</v>
      </c>
    </row>
    <row r="64" spans="1:3">
      <c r="A64" s="7" t="s">
        <v>401</v>
      </c>
      <c r="B64" t="s">
        <v>172</v>
      </c>
      <c r="C64" s="105">
        <f>PI()*0.25*(C40+2*C50/1000)*(C40+2*C50/1000)*C49/1000*C56</f>
        <v>1333.7585094898336</v>
      </c>
    </row>
    <row r="65" spans="1:5">
      <c r="A65" s="7" t="s">
        <v>402</v>
      </c>
      <c r="B65" t="s">
        <v>172</v>
      </c>
      <c r="C65" s="105">
        <f>(C41)*(C40+C50/1000)*PI()*C50/1000*C57</f>
        <v>1011.2650894406574</v>
      </c>
      <c r="D65" s="117">
        <v>1050</v>
      </c>
      <c r="E65" s="117">
        <v>1200</v>
      </c>
    </row>
    <row r="66" spans="1:5">
      <c r="A66" s="7" t="s">
        <v>403</v>
      </c>
      <c r="B66" t="s">
        <v>172</v>
      </c>
      <c r="C66" s="105">
        <f>(PI()*0.25*(C40+2*C50/1000)*(C40+2*C50/1000)-C43*C44)*C49/1000*C58</f>
        <v>148.12136151837339</v>
      </c>
      <c r="D66" s="117">
        <v>150</v>
      </c>
    </row>
    <row r="68" spans="1:5" ht="30">
      <c r="A68" s="7" t="s">
        <v>404</v>
      </c>
      <c r="B68" t="s">
        <v>172</v>
      </c>
      <c r="C68" s="67">
        <f>C60+C61+C62</f>
        <v>2289.9138626191393</v>
      </c>
    </row>
    <row r="70" spans="1:5">
      <c r="A70" s="7" t="s">
        <v>408</v>
      </c>
      <c r="C70" s="1">
        <v>1.8</v>
      </c>
    </row>
    <row r="71" spans="1:5">
      <c r="A71" s="7" t="s">
        <v>409</v>
      </c>
      <c r="C71" s="1">
        <v>2.0299999999999998</v>
      </c>
    </row>
    <row r="72" spans="1:5">
      <c r="A72" s="7" t="s">
        <v>410</v>
      </c>
      <c r="C72" s="1">
        <v>2.3849999999999998</v>
      </c>
    </row>
    <row r="73" spans="1:5">
      <c r="A73" s="7" t="s">
        <v>405</v>
      </c>
      <c r="B73" t="s">
        <v>172</v>
      </c>
      <c r="C73" s="67">
        <f>C70*C60+C71*C61+C72*C62</f>
        <v>4653.458252828711</v>
      </c>
      <c r="E73" s="117">
        <v>4700</v>
      </c>
    </row>
    <row r="75" spans="1:5">
      <c r="A75" s="43" t="s">
        <v>411</v>
      </c>
    </row>
    <row r="76" spans="1:5">
      <c r="A76" s="7" t="s">
        <v>412</v>
      </c>
      <c r="B76" t="s">
        <v>152</v>
      </c>
      <c r="C76" s="22">
        <f>C16/1000</f>
        <v>2.2999999999999998</v>
      </c>
    </row>
    <row r="77" spans="1:5">
      <c r="A77" s="7" t="s">
        <v>371</v>
      </c>
      <c r="C77" s="1">
        <v>4</v>
      </c>
    </row>
    <row r="78" spans="1:5">
      <c r="A78" s="7" t="s">
        <v>413</v>
      </c>
      <c r="C78" s="22">
        <f>C19/C77+2</f>
        <v>9</v>
      </c>
    </row>
    <row r="79" spans="1:5">
      <c r="A79" s="7" t="s">
        <v>415</v>
      </c>
      <c r="C79" s="1">
        <v>2</v>
      </c>
      <c r="D79" s="22">
        <f>C78/5</f>
        <v>1.8</v>
      </c>
    </row>
    <row r="80" spans="1:5">
      <c r="A80" s="7" t="s">
        <v>419</v>
      </c>
      <c r="B80" t="s">
        <v>113</v>
      </c>
      <c r="C80" s="1">
        <v>139</v>
      </c>
      <c r="D80" s="22"/>
    </row>
    <row r="82" spans="1:5">
      <c r="A82" s="7" t="s">
        <v>417</v>
      </c>
      <c r="B82" t="s">
        <v>152</v>
      </c>
      <c r="C82" s="105">
        <f>(C77-0.5)*C8/1000+2*C4/1000</f>
        <v>0.91599999999999993</v>
      </c>
    </row>
    <row r="83" spans="1:5">
      <c r="A83" s="7" t="s">
        <v>418</v>
      </c>
      <c r="B83" t="s">
        <v>152</v>
      </c>
      <c r="C83" s="22">
        <f>C76-0.6</f>
        <v>1.6999999999999997</v>
      </c>
    </row>
    <row r="84" spans="1:5">
      <c r="A84" s="7" t="s">
        <v>414</v>
      </c>
      <c r="B84" t="s">
        <v>152</v>
      </c>
      <c r="C84" s="105">
        <f>(C78-1)*C80/1000+C85*C79</f>
        <v>2.1120000000000001</v>
      </c>
    </row>
    <row r="85" spans="1:5">
      <c r="A85" s="7" t="s">
        <v>416</v>
      </c>
      <c r="B85" t="s">
        <v>152</v>
      </c>
      <c r="C85" s="1">
        <v>0.5</v>
      </c>
    </row>
    <row r="87" spans="1:5">
      <c r="A87" s="7" t="s">
        <v>420</v>
      </c>
      <c r="B87" t="s">
        <v>113</v>
      </c>
      <c r="C87" s="1">
        <v>16</v>
      </c>
    </row>
    <row r="88" spans="1:5">
      <c r="A88" s="7" t="s">
        <v>422</v>
      </c>
      <c r="B88" t="s">
        <v>377</v>
      </c>
      <c r="C88" s="1">
        <v>2</v>
      </c>
    </row>
    <row r="89" spans="1:5">
      <c r="A89" s="7" t="s">
        <v>421</v>
      </c>
      <c r="B89" t="s">
        <v>172</v>
      </c>
      <c r="C89" s="67">
        <f>C88*C82*(C84-C85*C79)*C87/1000*7850</f>
        <v>255.87031039999999</v>
      </c>
      <c r="E89" s="117">
        <v>260</v>
      </c>
    </row>
    <row r="91" spans="1:5">
      <c r="A91" s="7" t="s">
        <v>426</v>
      </c>
      <c r="B91" t="s">
        <v>113</v>
      </c>
      <c r="C91" s="1">
        <v>150</v>
      </c>
    </row>
    <row r="92" spans="1:5">
      <c r="A92" s="7" t="s">
        <v>423</v>
      </c>
      <c r="B92" t="s">
        <v>113</v>
      </c>
      <c r="C92" s="1">
        <v>50</v>
      </c>
    </row>
    <row r="93" spans="1:5">
      <c r="A93" s="7" t="s">
        <v>424</v>
      </c>
      <c r="B93" t="s">
        <v>113</v>
      </c>
      <c r="C93" s="1">
        <v>50</v>
      </c>
    </row>
    <row r="95" spans="1:5">
      <c r="A95" s="7" t="s">
        <v>425</v>
      </c>
      <c r="C95" s="1">
        <v>1000</v>
      </c>
    </row>
    <row r="96" spans="1:5">
      <c r="A96" s="7" t="s">
        <v>431</v>
      </c>
      <c r="B96" t="s">
        <v>432</v>
      </c>
      <c r="C96" s="1">
        <v>100</v>
      </c>
    </row>
    <row r="99" spans="1:5">
      <c r="A99" s="7" t="s">
        <v>1039</v>
      </c>
      <c r="C99" s="1">
        <v>1.05</v>
      </c>
    </row>
    <row r="100" spans="1:5">
      <c r="A100" t="s">
        <v>436</v>
      </c>
      <c r="C100" s="105">
        <f>C76*C84*2*C47/1000*C54*C99</f>
        <v>480.46521599999994</v>
      </c>
    </row>
    <row r="101" spans="1:5">
      <c r="A101" s="7" t="s">
        <v>428</v>
      </c>
      <c r="C101" s="22">
        <f>C76*C84*2*C91/1000*C95</f>
        <v>1457.28</v>
      </c>
    </row>
    <row r="102" spans="1:5">
      <c r="A102" s="7"/>
    </row>
    <row r="103" spans="1:5">
      <c r="A103" s="7" t="s">
        <v>433</v>
      </c>
      <c r="C103" s="1">
        <v>1</v>
      </c>
    </row>
    <row r="104" spans="1:5">
      <c r="A104" s="7" t="s">
        <v>434</v>
      </c>
      <c r="C104" s="105">
        <f>(((C84+C82+0.5)*4+C82*C84/0.8*2)*2*7+(C84*(C82+0.5)+0.35*(C82+0.5)*2+0.35*C84*2)*2*7850*6/1000)*C103</f>
        <v>779.62880639999992</v>
      </c>
    </row>
    <row r="105" spans="1:5">
      <c r="A105" t="s">
        <v>427</v>
      </c>
      <c r="C105" s="67">
        <f>C96*C92/1000*(C82*C84+2*(C82*0.35+C84*0.35))*2</f>
        <v>40.541919999999998</v>
      </c>
    </row>
    <row r="106" spans="1:5">
      <c r="A106" s="7" t="s">
        <v>429</v>
      </c>
      <c r="C106" s="105">
        <f>C93/1000*C95*C82*C84*2</f>
        <v>193.45920000000001</v>
      </c>
    </row>
    <row r="108" spans="1:5" ht="30">
      <c r="A108" s="7" t="s">
        <v>435</v>
      </c>
      <c r="C108" s="67">
        <f>C104+C100</f>
        <v>1260.0940223999999</v>
      </c>
      <c r="E108" s="117">
        <v>1300</v>
      </c>
    </row>
    <row r="109" spans="1:5">
      <c r="A109" t="s">
        <v>430</v>
      </c>
      <c r="C109" s="67">
        <f>C101+C106</f>
        <v>1650.7392</v>
      </c>
    </row>
    <row r="111" spans="1:5">
      <c r="A111" t="s">
        <v>438</v>
      </c>
    </row>
    <row r="112" spans="1:5">
      <c r="A112" t="s">
        <v>437</v>
      </c>
      <c r="B112" t="s">
        <v>152</v>
      </c>
      <c r="C112" s="105">
        <f>C82</f>
        <v>0.91599999999999993</v>
      </c>
    </row>
    <row r="113" spans="1:3">
      <c r="A113" t="s">
        <v>418</v>
      </c>
      <c r="B113" t="s">
        <v>152</v>
      </c>
      <c r="C113" s="22">
        <f>C83</f>
        <v>1.6999999999999997</v>
      </c>
    </row>
    <row r="115" spans="1:3">
      <c r="A115" t="s">
        <v>457</v>
      </c>
      <c r="B115" t="s">
        <v>152</v>
      </c>
      <c r="C115" s="1">
        <v>0.6</v>
      </c>
    </row>
    <row r="117" spans="1:3">
      <c r="A117" t="s">
        <v>439</v>
      </c>
      <c r="B117" t="s">
        <v>152</v>
      </c>
      <c r="C117" s="1">
        <v>2</v>
      </c>
    </row>
    <row r="118" spans="1:3">
      <c r="A118" t="s">
        <v>440</v>
      </c>
      <c r="B118" t="s">
        <v>152</v>
      </c>
      <c r="C118" s="1">
        <v>1</v>
      </c>
    </row>
    <row r="119" spans="1:3">
      <c r="A119" t="s">
        <v>441</v>
      </c>
      <c r="B119" t="s">
        <v>152</v>
      </c>
      <c r="C119" s="1">
        <v>15</v>
      </c>
    </row>
    <row r="121" spans="1:3">
      <c r="A121" t="s">
        <v>425</v>
      </c>
      <c r="C121" s="1">
        <v>1000</v>
      </c>
    </row>
    <row r="123" spans="1:3">
      <c r="A123" t="s">
        <v>442</v>
      </c>
      <c r="C123" s="1">
        <v>50</v>
      </c>
    </row>
    <row r="124" spans="1:3">
      <c r="A124" t="s">
        <v>443</v>
      </c>
      <c r="C124" s="1">
        <v>50</v>
      </c>
    </row>
    <row r="125" spans="1:3">
      <c r="A125" t="s">
        <v>444</v>
      </c>
      <c r="C125" s="1">
        <v>50</v>
      </c>
    </row>
    <row r="127" spans="1:3">
      <c r="A127" t="s">
        <v>445</v>
      </c>
      <c r="C127" s="1">
        <v>6</v>
      </c>
    </row>
    <row r="128" spans="1:3">
      <c r="A128" t="s">
        <v>446</v>
      </c>
      <c r="C128" s="1">
        <v>6</v>
      </c>
    </row>
    <row r="129" spans="1:7">
      <c r="A129" t="s">
        <v>447</v>
      </c>
      <c r="C129" s="1">
        <v>6</v>
      </c>
    </row>
    <row r="131" spans="1:7">
      <c r="A131" t="s">
        <v>448</v>
      </c>
      <c r="C131" s="1">
        <v>1.1000000000000001</v>
      </c>
    </row>
    <row r="132" spans="1:7">
      <c r="A132" t="s">
        <v>449</v>
      </c>
      <c r="C132" s="1">
        <v>1.1000000000000001</v>
      </c>
    </row>
    <row r="133" spans="1:7">
      <c r="A133" t="s">
        <v>450</v>
      </c>
      <c r="C133" s="1">
        <v>1.1000000000000001</v>
      </c>
    </row>
    <row r="135" spans="1:7">
      <c r="A135" t="s">
        <v>454</v>
      </c>
      <c r="B135" t="s">
        <v>172</v>
      </c>
      <c r="C135" s="118">
        <f>f_b_000_S_perehod(C112+2*C123/1000,C113+2*C123/1000,C117,C115)*C123/1000*C121</f>
        <v>388.30994390669389</v>
      </c>
      <c r="E135" s="117">
        <v>400</v>
      </c>
    </row>
    <row r="136" spans="1:7">
      <c r="A136" t="s">
        <v>455</v>
      </c>
      <c r="B136" t="s">
        <v>172</v>
      </c>
      <c r="C136" s="67">
        <f>(C115-C124/1000)*PI()*C118*C121*C124/1000</f>
        <v>86.393797973719316</v>
      </c>
    </row>
    <row r="137" spans="1:7">
      <c r="A137" t="s">
        <v>456</v>
      </c>
      <c r="B137" t="s">
        <v>172</v>
      </c>
      <c r="C137" s="67">
        <f>(C115-C125/1000)*PI()*C119*C121*C125/1000</f>
        <v>1295.9069696057895</v>
      </c>
      <c r="E137" s="117">
        <v>1300</v>
      </c>
    </row>
    <row r="139" spans="1:7">
      <c r="A139" t="s">
        <v>451</v>
      </c>
      <c r="B139" t="s">
        <v>172</v>
      </c>
      <c r="C139" s="67">
        <f>f_b_000_S_perehod(C112+2*C123/1000,C113+2*C123/1000,C117,C115)*C127/1000*7850*C131+PI()*0.25*(C115+25/1000)*16*7.85</f>
        <v>464.02051970281593</v>
      </c>
      <c r="E139" s="117">
        <v>450</v>
      </c>
      <c r="G139">
        <v>424</v>
      </c>
    </row>
    <row r="140" spans="1:7">
      <c r="A140" t="s">
        <v>452</v>
      </c>
      <c r="B140" t="s">
        <v>172</v>
      </c>
      <c r="C140" s="67">
        <f>PI()*C115*C118*C128/1000*7850</f>
        <v>88.781408390447552</v>
      </c>
      <c r="D140" s="67">
        <f>C140*C132</f>
        <v>97.659549229492313</v>
      </c>
      <c r="E140" s="117">
        <v>100</v>
      </c>
    </row>
    <row r="141" spans="1:7">
      <c r="A141" t="s">
        <v>453</v>
      </c>
      <c r="B141" t="s">
        <v>172</v>
      </c>
      <c r="C141" s="67">
        <f>PI()*C115*C119*C129/1000*7850</f>
        <v>1331.7211258567133</v>
      </c>
      <c r="D141" s="67">
        <f>C141*C133</f>
        <v>1464.8932384423847</v>
      </c>
      <c r="E141" s="117">
        <v>1500</v>
      </c>
    </row>
    <row r="144" spans="1:7">
      <c r="A144" t="s">
        <v>459</v>
      </c>
      <c r="B144" t="s">
        <v>172</v>
      </c>
      <c r="C144" s="67">
        <f>C64+C101+C106+C136+C135</f>
        <v>3459.201451370247</v>
      </c>
      <c r="E144" s="117">
        <v>3500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2"/>
  <dimension ref="A1:L79"/>
  <sheetViews>
    <sheetView workbookViewId="0">
      <selection activeCell="C15" sqref="C15"/>
    </sheetView>
  </sheetViews>
  <sheetFormatPr defaultRowHeight="15"/>
  <cols>
    <col min="1" max="1" width="33.7109375" customWidth="1"/>
    <col min="2" max="2" width="23.5703125" customWidth="1"/>
    <col min="3" max="3" width="18.42578125" customWidth="1"/>
    <col min="4" max="4" width="17.5703125" customWidth="1"/>
    <col min="6" max="8" width="11.42578125" customWidth="1"/>
    <col min="9" max="9" width="15.85546875" customWidth="1"/>
  </cols>
  <sheetData>
    <row r="1" spans="1:9" ht="18.75">
      <c r="A1" s="256" t="s">
        <v>166</v>
      </c>
      <c r="B1" s="256"/>
      <c r="C1" s="256"/>
      <c r="D1" s="256"/>
      <c r="E1" s="24"/>
      <c r="F1" s="24"/>
      <c r="G1" s="24"/>
      <c r="H1" s="24"/>
      <c r="I1" s="24"/>
    </row>
    <row r="2" spans="1:9" ht="18.75">
      <c r="A2" s="25" t="s">
        <v>167</v>
      </c>
      <c r="B2" s="25" t="s">
        <v>168</v>
      </c>
      <c r="C2" s="25" t="s">
        <v>169</v>
      </c>
      <c r="D2" s="25" t="s">
        <v>118</v>
      </c>
    </row>
    <row r="3" spans="1:9" ht="18.75">
      <c r="A3" s="26" t="s">
        <v>170</v>
      </c>
      <c r="B3" s="27"/>
      <c r="C3" s="27"/>
      <c r="D3" s="27"/>
    </row>
    <row r="4" spans="1:9" ht="18.75">
      <c r="A4" s="26" t="s">
        <v>171</v>
      </c>
      <c r="B4" s="26" t="s">
        <v>1038</v>
      </c>
      <c r="C4" s="27">
        <f>'Масса печи расчет'!E11</f>
        <v>1800</v>
      </c>
      <c r="D4" s="27" t="s">
        <v>172</v>
      </c>
    </row>
    <row r="5" spans="1:9" ht="18.75">
      <c r="A5" s="28" t="s">
        <v>173</v>
      </c>
      <c r="B5" s="26" t="s">
        <v>1038</v>
      </c>
      <c r="C5" s="29">
        <f>'Масса печи расчет'!E21</f>
        <v>1200</v>
      </c>
      <c r="D5" s="29" t="s">
        <v>172</v>
      </c>
    </row>
    <row r="6" spans="1:9" ht="18.75" hidden="1">
      <c r="A6" s="28" t="s">
        <v>279</v>
      </c>
      <c r="B6" s="26" t="s">
        <v>280</v>
      </c>
      <c r="C6" s="29">
        <v>0</v>
      </c>
      <c r="D6" s="29" t="s">
        <v>172</v>
      </c>
    </row>
    <row r="7" spans="1:9" ht="18.75">
      <c r="A7" s="28" t="s">
        <v>174</v>
      </c>
      <c r="B7" s="28"/>
      <c r="C7" s="29"/>
      <c r="D7" s="29"/>
    </row>
    <row r="8" spans="1:9" ht="18.75">
      <c r="A8" s="28" t="s">
        <v>175</v>
      </c>
      <c r="B8" s="28" t="s">
        <v>292</v>
      </c>
      <c r="C8" s="29">
        <f>'Масса печи расчет'!E36</f>
        <v>600</v>
      </c>
      <c r="D8" s="29" t="s">
        <v>172</v>
      </c>
    </row>
    <row r="9" spans="1:9" ht="18.75" hidden="1">
      <c r="A9" s="28" t="s">
        <v>281</v>
      </c>
      <c r="B9" s="28" t="s">
        <v>176</v>
      </c>
      <c r="C9" s="29">
        <v>0</v>
      </c>
      <c r="D9" s="29" t="s">
        <v>172</v>
      </c>
    </row>
    <row r="10" spans="1:9" ht="18.75">
      <c r="A10" s="28" t="s">
        <v>177</v>
      </c>
      <c r="B10" s="28"/>
      <c r="C10" s="29"/>
      <c r="D10" s="29"/>
    </row>
    <row r="11" spans="1:9" ht="18.75">
      <c r="A11" s="28" t="s">
        <v>178</v>
      </c>
      <c r="B11" s="28" t="s">
        <v>179</v>
      </c>
      <c r="C11" s="221">
        <v>400</v>
      </c>
      <c r="D11" s="29" t="s">
        <v>172</v>
      </c>
    </row>
    <row r="12" spans="1:9" ht="18.75">
      <c r="A12" s="28" t="s">
        <v>180</v>
      </c>
      <c r="B12" s="26" t="s">
        <v>181</v>
      </c>
      <c r="C12" s="29">
        <f>'Масса печи расчет'!E89</f>
        <v>260</v>
      </c>
      <c r="D12" s="29" t="s">
        <v>172</v>
      </c>
    </row>
    <row r="13" spans="1:9" ht="18.75">
      <c r="A13" s="28" t="s">
        <v>182</v>
      </c>
      <c r="B13" s="28"/>
      <c r="C13" s="29"/>
      <c r="D13" s="29"/>
    </row>
    <row r="14" spans="1:9" ht="18.75">
      <c r="A14" s="26" t="s">
        <v>183</v>
      </c>
      <c r="B14" s="26" t="s">
        <v>1038</v>
      </c>
      <c r="C14" s="29">
        <f>'Масса печи расчет'!E73</f>
        <v>4700</v>
      </c>
      <c r="D14" s="29" t="s">
        <v>172</v>
      </c>
    </row>
    <row r="15" spans="1:9" ht="18.75">
      <c r="A15" s="28" t="s">
        <v>184</v>
      </c>
      <c r="B15" s="26" t="s">
        <v>1038</v>
      </c>
      <c r="C15" s="29">
        <f>'Масса печи расчет'!E108</f>
        <v>1300</v>
      </c>
      <c r="D15" s="29" t="s">
        <v>172</v>
      </c>
    </row>
    <row r="16" spans="1:9" ht="18.75">
      <c r="A16" s="28" t="s">
        <v>185</v>
      </c>
      <c r="B16" s="26" t="s">
        <v>1038</v>
      </c>
      <c r="C16" s="29">
        <f>'Масса печи расчет'!E139</f>
        <v>450</v>
      </c>
      <c r="D16" s="29" t="s">
        <v>172</v>
      </c>
    </row>
    <row r="17" spans="1:4" ht="18.75">
      <c r="A17" s="28" t="s">
        <v>186</v>
      </c>
      <c r="B17" s="26" t="s">
        <v>1038</v>
      </c>
      <c r="C17" s="29">
        <f>'Масса печи расчет'!E140</f>
        <v>100</v>
      </c>
      <c r="D17" s="29" t="s">
        <v>172</v>
      </c>
    </row>
    <row r="18" spans="1:4" ht="18.75">
      <c r="A18" s="28" t="s">
        <v>187</v>
      </c>
      <c r="B18" s="26" t="s">
        <v>1038</v>
      </c>
      <c r="C18" s="221">
        <v>4000</v>
      </c>
      <c r="D18" s="29" t="s">
        <v>172</v>
      </c>
    </row>
    <row r="19" spans="1:4" ht="18.75">
      <c r="A19" s="28" t="s">
        <v>188</v>
      </c>
      <c r="B19" s="26" t="s">
        <v>1038</v>
      </c>
      <c r="C19" s="29"/>
      <c r="D19" s="29"/>
    </row>
    <row r="20" spans="1:4" ht="18.75">
      <c r="A20" s="28" t="s">
        <v>189</v>
      </c>
      <c r="B20" s="28"/>
      <c r="C20" s="29"/>
      <c r="D20" s="29"/>
    </row>
    <row r="21" spans="1:4" ht="18.75">
      <c r="A21" s="28" t="s">
        <v>190</v>
      </c>
      <c r="B21" s="28"/>
      <c r="C21" s="221">
        <v>5000</v>
      </c>
      <c r="D21" s="29" t="s">
        <v>172</v>
      </c>
    </row>
    <row r="22" spans="1:4" ht="18.75">
      <c r="A22" s="28" t="s">
        <v>191</v>
      </c>
      <c r="B22" s="28"/>
      <c r="C22" s="29"/>
      <c r="D22" s="29"/>
    </row>
    <row r="23" spans="1:4" ht="18.75">
      <c r="A23" s="30" t="s">
        <v>192</v>
      </c>
      <c r="B23" s="26" t="s">
        <v>194</v>
      </c>
      <c r="C23" s="221">
        <v>100</v>
      </c>
      <c r="D23" s="29" t="s">
        <v>172</v>
      </c>
    </row>
    <row r="24" spans="1:4" ht="18.75">
      <c r="A24" s="30" t="s">
        <v>193</v>
      </c>
      <c r="B24" s="26" t="s">
        <v>194</v>
      </c>
      <c r="C24" s="221">
        <v>50</v>
      </c>
      <c r="D24" s="29" t="s">
        <v>172</v>
      </c>
    </row>
    <row r="25" spans="1:4" ht="18.75">
      <c r="A25" s="26" t="s">
        <v>195</v>
      </c>
      <c r="B25" s="28"/>
      <c r="C25" s="29"/>
      <c r="D25" s="29"/>
    </row>
    <row r="26" spans="1:4" ht="18.75">
      <c r="A26" s="74" t="s">
        <v>340</v>
      </c>
      <c r="B26" s="75"/>
      <c r="C26" s="76">
        <f>'Масса печи расчет'!E65</f>
        <v>1200</v>
      </c>
      <c r="D26" s="76" t="s">
        <v>172</v>
      </c>
    </row>
    <row r="27" spans="1:4" ht="18.75">
      <c r="A27" s="28" t="s">
        <v>196</v>
      </c>
      <c r="B27" s="28"/>
      <c r="C27" s="29">
        <f>'Масса печи расчет'!E144</f>
        <v>3500</v>
      </c>
      <c r="D27" s="29" t="s">
        <v>172</v>
      </c>
    </row>
    <row r="28" spans="1:4" ht="18.75">
      <c r="A28" s="28" t="s">
        <v>197</v>
      </c>
      <c r="B28" s="26" t="s">
        <v>1038</v>
      </c>
      <c r="C28" s="221">
        <v>150</v>
      </c>
      <c r="D28" s="29" t="s">
        <v>172</v>
      </c>
    </row>
    <row r="29" spans="1:4" ht="18.75">
      <c r="A29" s="28" t="s">
        <v>198</v>
      </c>
      <c r="B29" s="26" t="s">
        <v>1038</v>
      </c>
      <c r="C29" s="221">
        <v>200</v>
      </c>
      <c r="D29" s="29" t="s">
        <v>172</v>
      </c>
    </row>
    <row r="30" spans="1:4" ht="18.75">
      <c r="A30" s="28" t="s">
        <v>199</v>
      </c>
      <c r="B30" s="26" t="s">
        <v>1038</v>
      </c>
      <c r="C30" s="221">
        <v>250</v>
      </c>
      <c r="D30" s="29" t="s">
        <v>172</v>
      </c>
    </row>
    <row r="31" spans="1:4" ht="18.75">
      <c r="A31" s="28" t="s">
        <v>200</v>
      </c>
      <c r="B31" s="26" t="s">
        <v>1038</v>
      </c>
      <c r="C31" s="29">
        <f>'Масса печи расчет'!E141</f>
        <v>1500</v>
      </c>
      <c r="D31" s="29" t="s">
        <v>172</v>
      </c>
    </row>
    <row r="32" spans="1:4" ht="18.75">
      <c r="A32" s="28"/>
      <c r="B32" s="28" t="s">
        <v>201</v>
      </c>
      <c r="C32" s="29">
        <f>'Масса печи расчет'!E137</f>
        <v>1300</v>
      </c>
      <c r="D32" s="29" t="s">
        <v>172</v>
      </c>
    </row>
    <row r="33" spans="1:9" ht="18.75">
      <c r="A33" s="28" t="s">
        <v>202</v>
      </c>
      <c r="B33" s="28" t="s">
        <v>181</v>
      </c>
      <c r="C33" s="221">
        <v>100</v>
      </c>
      <c r="D33" s="29" t="s">
        <v>172</v>
      </c>
    </row>
    <row r="34" spans="1:9" ht="18.75">
      <c r="A34" s="31"/>
      <c r="B34" s="28"/>
      <c r="C34" s="5"/>
      <c r="D34" s="5"/>
    </row>
    <row r="35" spans="1:9" ht="18.75">
      <c r="A35" s="32" t="s">
        <v>203</v>
      </c>
      <c r="B35" s="33"/>
      <c r="C35" s="34">
        <f>SUM(Таблица1[Масса])</f>
        <v>28160</v>
      </c>
      <c r="D35" s="34" t="s">
        <v>172</v>
      </c>
    </row>
    <row r="36" spans="1:9" ht="18.75">
      <c r="A36" s="31"/>
      <c r="B36" s="28"/>
      <c r="C36" s="5"/>
      <c r="D36" s="5"/>
    </row>
    <row r="37" spans="1:9" ht="18.75">
      <c r="A37" s="35"/>
      <c r="B37" s="28"/>
      <c r="C37" s="5"/>
      <c r="D37" s="5"/>
    </row>
    <row r="38" spans="1:9" ht="18.75">
      <c r="A38" s="31"/>
      <c r="B38" s="28"/>
      <c r="C38" s="5"/>
      <c r="D38" s="5"/>
    </row>
    <row r="39" spans="1:9" ht="18.75">
      <c r="A39" s="31"/>
      <c r="B39" s="28"/>
      <c r="C39" s="5"/>
      <c r="D39" s="5"/>
    </row>
    <row r="40" spans="1:9" ht="18.75">
      <c r="A40" s="31"/>
      <c r="B40" s="28"/>
      <c r="C40" s="5"/>
      <c r="D40" s="5"/>
    </row>
    <row r="41" spans="1:9" ht="18.75">
      <c r="A41" s="31"/>
      <c r="B41" s="28"/>
      <c r="C41" s="5"/>
      <c r="D41" s="5"/>
    </row>
    <row r="42" spans="1:9" ht="18.75">
      <c r="A42" s="31"/>
      <c r="B42" s="28"/>
      <c r="C42" s="5"/>
      <c r="D42" s="5"/>
    </row>
    <row r="43" spans="1:9" ht="18.75">
      <c r="A43" s="31"/>
      <c r="B43" s="28"/>
      <c r="C43" s="5"/>
      <c r="D43" s="5"/>
    </row>
    <row r="44" spans="1:9" ht="18.75">
      <c r="A44" s="31"/>
      <c r="B44" s="28"/>
      <c r="C44" s="5"/>
      <c r="D44" s="5"/>
    </row>
    <row r="45" spans="1:9" ht="18.75">
      <c r="A45" s="36"/>
    </row>
    <row r="46" spans="1:9" ht="18.75">
      <c r="B46" s="36"/>
      <c r="I46" s="36"/>
    </row>
    <row r="47" spans="1:9" ht="18.75">
      <c r="B47" s="36"/>
      <c r="I47" s="36"/>
    </row>
    <row r="48" spans="1:9" ht="18.75">
      <c r="B48" s="36"/>
      <c r="H48" s="36"/>
    </row>
    <row r="49" spans="1:9" ht="18.75">
      <c r="A49" s="36"/>
    </row>
    <row r="50" spans="1:9" ht="18.75">
      <c r="B50" s="36"/>
      <c r="F50" s="36"/>
    </row>
    <row r="51" spans="1:9" ht="18.75">
      <c r="B51" s="36"/>
      <c r="F51" s="36"/>
    </row>
    <row r="52" spans="1:9" ht="18.75">
      <c r="A52" s="36"/>
    </row>
    <row r="53" spans="1:9" ht="18.75">
      <c r="B53" s="36"/>
    </row>
    <row r="54" spans="1:9" ht="18.75">
      <c r="D54" s="36"/>
      <c r="I54" s="36"/>
    </row>
    <row r="55" spans="1:9" ht="18.75">
      <c r="B55" s="36"/>
    </row>
    <row r="56" spans="1:9" ht="18.75">
      <c r="D56" s="36"/>
      <c r="I56" s="36"/>
    </row>
    <row r="57" spans="1:9" ht="18.75">
      <c r="A57" s="36"/>
    </row>
    <row r="58" spans="1:9" ht="18.75">
      <c r="B58" s="36"/>
      <c r="H58" s="36"/>
    </row>
    <row r="59" spans="1:9" ht="18.75">
      <c r="B59" s="36"/>
      <c r="H59" s="36"/>
    </row>
    <row r="60" spans="1:9" ht="18.75">
      <c r="B60" s="36"/>
      <c r="I60" s="36"/>
    </row>
    <row r="61" spans="1:9" ht="18.75">
      <c r="B61" s="36"/>
      <c r="H61" s="36"/>
    </row>
    <row r="62" spans="1:9" ht="18.75">
      <c r="A62" s="36"/>
      <c r="H62" s="36"/>
    </row>
    <row r="63" spans="1:9" ht="18.75">
      <c r="A63" s="36"/>
    </row>
    <row r="64" spans="1:9" ht="18.75">
      <c r="A64" s="37"/>
    </row>
    <row r="65" spans="1:12" ht="18.75">
      <c r="A65" s="37"/>
      <c r="D65" s="37"/>
    </row>
    <row r="66" spans="1:12" ht="18.75">
      <c r="A66" s="36"/>
    </row>
    <row r="67" spans="1:12" ht="18.75">
      <c r="C67" s="37"/>
      <c r="J67" s="37"/>
    </row>
    <row r="68" spans="1:12" ht="18.75">
      <c r="A68" s="38"/>
      <c r="I68" s="38"/>
    </row>
    <row r="69" spans="1:12" ht="18.75">
      <c r="A69" s="36"/>
    </row>
    <row r="70" spans="1:12" ht="18.75">
      <c r="A70" s="36"/>
      <c r="D70" s="36"/>
    </row>
    <row r="71" spans="1:12" ht="18.75">
      <c r="A71" s="36"/>
      <c r="G71" s="36"/>
    </row>
    <row r="72" spans="1:12" ht="18.75">
      <c r="A72" s="36"/>
      <c r="G72" s="36"/>
    </row>
    <row r="73" spans="1:12" ht="18.75">
      <c r="A73" s="36"/>
      <c r="E73" s="36"/>
    </row>
    <row r="74" spans="1:12" ht="18.75">
      <c r="A74" s="36"/>
    </row>
    <row r="75" spans="1:12" ht="18.75">
      <c r="C75" s="37"/>
      <c r="L75" s="37"/>
    </row>
    <row r="76" spans="1:12" ht="18.75">
      <c r="C76" s="37"/>
      <c r="F76" s="37"/>
    </row>
    <row r="77" spans="1:12" ht="18.75">
      <c r="A77" s="36"/>
      <c r="G77" s="36"/>
    </row>
    <row r="78" spans="1:12" ht="18.75">
      <c r="A78" s="37"/>
    </row>
    <row r="79" spans="1:12" ht="18.75">
      <c r="A79" s="39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4"/>
  <dimension ref="A1:E41"/>
  <sheetViews>
    <sheetView workbookViewId="0">
      <selection activeCell="C3" sqref="C3"/>
    </sheetView>
  </sheetViews>
  <sheetFormatPr defaultRowHeight="15"/>
  <cols>
    <col min="1" max="1" width="47.28515625" customWidth="1"/>
    <col min="2" max="2" width="14" bestFit="1" customWidth="1"/>
    <col min="3" max="3" width="9.7109375" bestFit="1" customWidth="1"/>
    <col min="4" max="4" width="9.28515625" customWidth="1"/>
  </cols>
  <sheetData>
    <row r="1" spans="1:5">
      <c r="A1" s="17" t="s">
        <v>119</v>
      </c>
      <c r="B1" s="16" t="s">
        <v>118</v>
      </c>
      <c r="C1" s="19" t="s">
        <v>120</v>
      </c>
    </row>
    <row r="2" spans="1:5">
      <c r="A2" s="17"/>
      <c r="B2" s="16"/>
      <c r="C2" s="19" t="s">
        <v>354</v>
      </c>
      <c r="D2" s="77" t="s">
        <v>355</v>
      </c>
      <c r="E2" t="s">
        <v>356</v>
      </c>
    </row>
    <row r="3" spans="1:5" s="82" customFormat="1">
      <c r="A3" s="79" t="s">
        <v>344</v>
      </c>
      <c r="B3" s="83" t="s">
        <v>95</v>
      </c>
      <c r="C3" s="88">
        <v>258400</v>
      </c>
      <c r="D3" s="88">
        <v>258400</v>
      </c>
      <c r="E3" s="88">
        <v>1000</v>
      </c>
    </row>
    <row r="4" spans="1:5" s="82" customFormat="1">
      <c r="A4" s="78"/>
      <c r="B4" s="83" t="s">
        <v>96</v>
      </c>
      <c r="C4" s="89">
        <f>C3/3600</f>
        <v>71.777777777777771</v>
      </c>
      <c r="D4" s="89">
        <f>D3/3600</f>
        <v>71.777777777777771</v>
      </c>
      <c r="E4" s="89">
        <f>E3/3600</f>
        <v>0.27777777777777779</v>
      </c>
    </row>
    <row r="5" spans="1:5" s="82" customFormat="1">
      <c r="A5" s="79" t="s">
        <v>362</v>
      </c>
      <c r="B5" s="83"/>
      <c r="C5" s="88">
        <v>0.1181</v>
      </c>
      <c r="D5" s="88">
        <v>0.08</v>
      </c>
      <c r="E5" s="88">
        <v>1</v>
      </c>
    </row>
    <row r="6" spans="1:5">
      <c r="A6" s="79" t="s">
        <v>345</v>
      </c>
      <c r="B6" s="83" t="s">
        <v>95</v>
      </c>
      <c r="C6" s="90">
        <f>C3-C8</f>
        <v>227882.96</v>
      </c>
      <c r="D6" s="90">
        <f>D3-D8</f>
        <v>237728</v>
      </c>
      <c r="E6" s="90">
        <f>E3-E8</f>
        <v>0</v>
      </c>
    </row>
    <row r="7" spans="1:5">
      <c r="A7" s="78"/>
      <c r="B7" s="83" t="s">
        <v>96</v>
      </c>
      <c r="C7" s="89">
        <f>C6/3600</f>
        <v>63.300822222222223</v>
      </c>
      <c r="D7" s="89">
        <f>D6/3600</f>
        <v>66.035555555555561</v>
      </c>
      <c r="E7" s="89">
        <f>E6/3600</f>
        <v>0</v>
      </c>
    </row>
    <row r="8" spans="1:5">
      <c r="A8" s="79" t="s">
        <v>346</v>
      </c>
      <c r="B8" s="83" t="s">
        <v>95</v>
      </c>
      <c r="C8" s="90">
        <f>C3*C5</f>
        <v>30517.040000000001</v>
      </c>
      <c r="D8" s="90">
        <f>D3*D5</f>
        <v>20672</v>
      </c>
      <c r="E8" s="90">
        <f>E3*E5</f>
        <v>1000</v>
      </c>
    </row>
    <row r="9" spans="1:5">
      <c r="A9" s="78"/>
      <c r="B9" s="83" t="s">
        <v>96</v>
      </c>
      <c r="C9" s="89">
        <f>C8/3600</f>
        <v>8.4769555555555556</v>
      </c>
      <c r="D9" s="89">
        <f>D8/3600</f>
        <v>5.7422222222222219</v>
      </c>
      <c r="E9" s="89">
        <f>E8/3600</f>
        <v>0.27777777777777779</v>
      </c>
    </row>
    <row r="10" spans="1:5">
      <c r="A10" s="78"/>
      <c r="B10" s="83"/>
      <c r="C10" s="85"/>
      <c r="D10" s="85"/>
      <c r="E10" s="85"/>
    </row>
    <row r="11" spans="1:5">
      <c r="A11" s="18" t="s">
        <v>342</v>
      </c>
      <c r="B11" s="80" t="s">
        <v>207</v>
      </c>
      <c r="C11" s="88">
        <v>624.29999999999995</v>
      </c>
      <c r="D11" s="88">
        <v>617.02</v>
      </c>
      <c r="E11" s="88">
        <v>1000</v>
      </c>
    </row>
    <row r="12" spans="1:5">
      <c r="A12" s="79" t="s">
        <v>343</v>
      </c>
      <c r="B12" s="80" t="s">
        <v>207</v>
      </c>
      <c r="C12" s="88">
        <v>16.989999999999998</v>
      </c>
      <c r="D12" s="88">
        <v>20.100000000000001</v>
      </c>
      <c r="E12" s="88">
        <v>1.675</v>
      </c>
    </row>
    <row r="13" spans="1:5">
      <c r="A13" s="79"/>
      <c r="B13" s="80"/>
      <c r="C13" s="91"/>
      <c r="D13" s="91"/>
      <c r="E13" s="91"/>
    </row>
    <row r="14" spans="1:5">
      <c r="A14" s="79" t="s">
        <v>112</v>
      </c>
      <c r="B14" s="80"/>
      <c r="C14" s="88">
        <v>2</v>
      </c>
      <c r="D14" s="88">
        <v>2</v>
      </c>
      <c r="E14" s="88">
        <v>1</v>
      </c>
    </row>
    <row r="15" spans="1:5">
      <c r="A15" s="79" t="s">
        <v>293</v>
      </c>
      <c r="B15" s="84" t="s">
        <v>152</v>
      </c>
      <c r="C15" s="88">
        <v>0.219</v>
      </c>
      <c r="D15" s="88">
        <v>0.219</v>
      </c>
      <c r="E15" s="88">
        <v>0.152</v>
      </c>
    </row>
    <row r="16" spans="1:5">
      <c r="A16" s="79" t="s">
        <v>351</v>
      </c>
      <c r="B16" s="84" t="s">
        <v>152</v>
      </c>
      <c r="C16" s="88">
        <v>7.0000000000000001E-3</v>
      </c>
      <c r="D16" s="88">
        <v>7.0000000000000001E-3</v>
      </c>
      <c r="E16" s="88">
        <f>6/1000</f>
        <v>6.0000000000000001E-3</v>
      </c>
    </row>
    <row r="17" spans="1:5">
      <c r="A17" s="79" t="s">
        <v>255</v>
      </c>
      <c r="B17" s="84" t="s">
        <v>352</v>
      </c>
      <c r="C17" s="92">
        <f>PI()*C14*(C15-2*C16)*(C15-2*C16)*0.25</f>
        <v>6.6012715633555513E-2</v>
      </c>
      <c r="D17" s="92">
        <f>PI()*D14*(D15-2*D16)*(D15-2*D16)*0.25</f>
        <v>6.6012715633555513E-2</v>
      </c>
      <c r="E17" s="92">
        <f>PI()*E14*(E15-2*E16)*(E15-2*E16)*0.25</f>
        <v>1.5393804002589983E-2</v>
      </c>
    </row>
    <row r="18" spans="1:5">
      <c r="A18" s="18"/>
      <c r="B18" s="80"/>
      <c r="C18" s="85"/>
      <c r="D18" s="85"/>
      <c r="E18" s="85"/>
    </row>
    <row r="19" spans="1:5">
      <c r="A19" s="79" t="s">
        <v>347</v>
      </c>
      <c r="B19" s="84" t="s">
        <v>249</v>
      </c>
      <c r="C19" s="87">
        <f>C9/C12/C17</f>
        <v>7.5582095443312998</v>
      </c>
      <c r="D19" s="87">
        <f>D9/D12/D17</f>
        <v>4.3276919436075758</v>
      </c>
      <c r="E19" s="87">
        <f>E9/E12/E17</f>
        <v>10.773001867661378</v>
      </c>
    </row>
    <row r="20" spans="1:5">
      <c r="A20" s="79" t="s">
        <v>348</v>
      </c>
      <c r="B20" s="84" t="s">
        <v>249</v>
      </c>
      <c r="C20" s="87">
        <f>C7/C11/C17</f>
        <v>1.5359901019913744</v>
      </c>
      <c r="D20" s="87">
        <f>D7/D11/D17</f>
        <v>1.6212537563853546</v>
      </c>
      <c r="E20" s="87">
        <f>E7/E11/E17</f>
        <v>0</v>
      </c>
    </row>
    <row r="21" spans="1:5">
      <c r="A21" s="18"/>
      <c r="B21" s="80"/>
      <c r="C21" s="85"/>
      <c r="D21" s="85"/>
      <c r="E21" s="85"/>
    </row>
    <row r="22" spans="1:5">
      <c r="A22" s="7" t="s">
        <v>357</v>
      </c>
      <c r="B22" t="s">
        <v>249</v>
      </c>
      <c r="C22" s="96">
        <f>C4/C11/C17</f>
        <v>1.7416828461178979</v>
      </c>
      <c r="D22" s="96">
        <f>D4/D11/D17</f>
        <v>1.7622323438971241</v>
      </c>
      <c r="E22" s="96">
        <f>E4/E11/E17</f>
        <v>1.8044778128332811E-2</v>
      </c>
    </row>
    <row r="23" spans="1:5">
      <c r="A23" s="7"/>
      <c r="B23" s="81"/>
      <c r="C23" s="86"/>
      <c r="D23" s="86"/>
      <c r="E23" s="86"/>
    </row>
    <row r="24" spans="1:5">
      <c r="A24" t="s">
        <v>341</v>
      </c>
      <c r="B24" s="80" t="s">
        <v>249</v>
      </c>
      <c r="C24" s="93">
        <f>C19+C20</f>
        <v>9.0941996463226751</v>
      </c>
      <c r="D24" s="93">
        <f>D19+D20</f>
        <v>5.9489456999929304</v>
      </c>
      <c r="E24" s="93">
        <f>E19+E20</f>
        <v>10.773001867661378</v>
      </c>
    </row>
    <row r="25" spans="1:5">
      <c r="B25" s="81"/>
      <c r="C25" s="40"/>
      <c r="D25" s="40"/>
      <c r="E25" s="40"/>
    </row>
    <row r="26" spans="1:5">
      <c r="A26" t="s">
        <v>358</v>
      </c>
      <c r="B26" t="s">
        <v>249</v>
      </c>
      <c r="C26" s="97">
        <f>C22*(1+C5*(C12/C11-1))</f>
        <v>1.5415879231073595</v>
      </c>
      <c r="D26" s="97">
        <f>D22*(1+D5*(D12/D11-1))</f>
        <v>1.6258462649085568</v>
      </c>
      <c r="E26" s="97">
        <f>E22*(1+E5*(E12/E11-1))</f>
        <v>3.0225003364957133E-5</v>
      </c>
    </row>
    <row r="27" spans="1:5">
      <c r="C27" s="40"/>
      <c r="D27" s="40"/>
      <c r="E27" s="40"/>
    </row>
    <row r="28" spans="1:5">
      <c r="A28" t="s">
        <v>341</v>
      </c>
      <c r="B28" t="s">
        <v>249</v>
      </c>
      <c r="C28" s="93">
        <f>C22+C19*(1-C12/C11)</f>
        <v>9.0941996463226733</v>
      </c>
      <c r="D28" s="93">
        <f>D22+D19*(1-D12/D11)</f>
        <v>5.9489456999929304</v>
      </c>
      <c r="E28" s="93">
        <f>E22+E19*(1-E12/E11)</f>
        <v>10.773001867661378</v>
      </c>
    </row>
    <row r="29" spans="1:5">
      <c r="C29" s="40"/>
      <c r="D29" s="40"/>
      <c r="E29" s="40"/>
    </row>
    <row r="30" spans="1:5">
      <c r="A30" t="s">
        <v>349</v>
      </c>
      <c r="C30" s="95">
        <f>(C9/C12)/(C9/C12+C7/C11)</f>
        <v>0.83110222320526395</v>
      </c>
      <c r="D30" s="95">
        <f>(D9/D12)/(D9/D12+D7/D11)</f>
        <v>0.72747208696369825</v>
      </c>
      <c r="E30" s="95">
        <f>(E9/E12)/(E9/E12+E7/E11)</f>
        <v>1</v>
      </c>
    </row>
    <row r="31" spans="1:5">
      <c r="C31" s="40"/>
      <c r="D31" s="40"/>
      <c r="E31" s="40"/>
    </row>
    <row r="32" spans="1:5">
      <c r="A32" t="s">
        <v>349</v>
      </c>
      <c r="C32" s="95">
        <f>C19/C24</f>
        <v>0.83110222320526383</v>
      </c>
      <c r="D32" s="95">
        <f>D19/D24</f>
        <v>0.72747208696369825</v>
      </c>
      <c r="E32" s="95">
        <f>E19/E24</f>
        <v>1</v>
      </c>
    </row>
    <row r="33" spans="1:5">
      <c r="C33" s="40"/>
      <c r="D33" s="40"/>
      <c r="E33" s="40"/>
    </row>
    <row r="34" spans="1:5">
      <c r="A34" t="s">
        <v>353</v>
      </c>
      <c r="C34" s="69">
        <v>1</v>
      </c>
      <c r="D34" s="69">
        <v>1</v>
      </c>
      <c r="E34" s="69">
        <v>1</v>
      </c>
    </row>
    <row r="35" spans="1:5">
      <c r="C35" s="40"/>
      <c r="D35" s="40"/>
      <c r="E35" s="40"/>
    </row>
    <row r="36" spans="1:5">
      <c r="A36" t="s">
        <v>350</v>
      </c>
      <c r="C36" s="94">
        <f>C34*C32</f>
        <v>0.83110222320526383</v>
      </c>
      <c r="D36" s="94">
        <f>D34*D32</f>
        <v>0.72747208696369825</v>
      </c>
      <c r="E36" s="94">
        <f>E34*E32</f>
        <v>1</v>
      </c>
    </row>
    <row r="38" spans="1:5">
      <c r="A38" t="s">
        <v>361</v>
      </c>
      <c r="B38" t="s">
        <v>207</v>
      </c>
      <c r="C38" s="9">
        <f>C36*C12+(1-C36)*C11</f>
        <v>119.56330882521121</v>
      </c>
      <c r="D38" s="9">
        <f t="shared" ref="D38:E38" si="0">D36*D12+(1-D36)*D11</f>
        <v>182.77736184962924</v>
      </c>
      <c r="E38" s="9">
        <f t="shared" si="0"/>
        <v>1.675</v>
      </c>
    </row>
    <row r="40" spans="1:5">
      <c r="A40" t="s">
        <v>360</v>
      </c>
      <c r="B40" t="s">
        <v>207</v>
      </c>
      <c r="C40">
        <f>1/(C5*C12+(1-C5)*C11)</f>
        <v>1.8097035577264462E-3</v>
      </c>
      <c r="D40">
        <f t="shared" ref="D40:E40" si="1">1/(D5*D12+(1-D5)*D11)</f>
        <v>1.7566468001624547E-3</v>
      </c>
      <c r="E40">
        <f t="shared" si="1"/>
        <v>0.59701492537313428</v>
      </c>
    </row>
    <row r="41" spans="1:5">
      <c r="A41" t="s">
        <v>359</v>
      </c>
      <c r="B41" t="s">
        <v>207</v>
      </c>
      <c r="C41" s="9">
        <f>C32*C12+(1-C32)*C11</f>
        <v>119.56330882521121</v>
      </c>
      <c r="D41" s="9">
        <f t="shared" ref="D41:E41" si="2">D32*D12+(1-D32)*D11</f>
        <v>182.77736184962924</v>
      </c>
      <c r="E41" s="9">
        <f t="shared" si="2"/>
        <v>1.675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/>
  <dimension ref="A1:E199"/>
  <sheetViews>
    <sheetView tabSelected="1" topLeftCell="A171" workbookViewId="0">
      <selection activeCell="C179" sqref="C179"/>
    </sheetView>
  </sheetViews>
  <sheetFormatPr defaultRowHeight="15"/>
  <cols>
    <col min="1" max="1" width="40.5703125" style="7" bestFit="1" customWidth="1"/>
    <col min="2" max="2" width="12.85546875" style="129" bestFit="1" customWidth="1"/>
    <col min="3" max="3" width="9.7109375" style="20" bestFit="1" customWidth="1"/>
  </cols>
  <sheetData>
    <row r="1" spans="1:4">
      <c r="A1" s="17" t="s">
        <v>119</v>
      </c>
      <c r="B1" s="19" t="s">
        <v>118</v>
      </c>
      <c r="C1" s="19" t="s">
        <v>120</v>
      </c>
    </row>
    <row r="2" spans="1:4">
      <c r="A2" s="17"/>
      <c r="B2" s="19"/>
      <c r="C2" s="19"/>
    </row>
    <row r="3" spans="1:4">
      <c r="A3" s="17" t="s">
        <v>1081</v>
      </c>
      <c r="B3" s="142"/>
      <c r="C3" s="19"/>
    </row>
    <row r="4" spans="1:4" ht="30">
      <c r="A4" s="7" t="s">
        <v>1082</v>
      </c>
      <c r="B4" s="129" t="s">
        <v>125</v>
      </c>
      <c r="C4" s="109">
        <v>30</v>
      </c>
    </row>
    <row r="5" spans="1:4" ht="30">
      <c r="A5" s="7" t="s">
        <v>1083</v>
      </c>
      <c r="B5" s="129" t="s">
        <v>125</v>
      </c>
      <c r="C5" s="109">
        <v>791</v>
      </c>
    </row>
    <row r="6" spans="1:4" ht="30">
      <c r="A6" s="7" t="s">
        <v>1084</v>
      </c>
      <c r="B6" s="129" t="s">
        <v>125</v>
      </c>
      <c r="C6" s="109">
        <v>575</v>
      </c>
    </row>
    <row r="7" spans="1:4" ht="30">
      <c r="A7" s="7" t="s">
        <v>1085</v>
      </c>
      <c r="B7" s="129" t="s">
        <v>125</v>
      </c>
      <c r="C7" s="109">
        <v>355</v>
      </c>
    </row>
    <row r="8" spans="1:4" ht="30">
      <c r="A8" s="7" t="s">
        <v>1086</v>
      </c>
      <c r="B8" s="129" t="s">
        <v>125</v>
      </c>
      <c r="C8" s="102">
        <v>478</v>
      </c>
    </row>
    <row r="9" spans="1:4">
      <c r="A9" s="7" t="s">
        <v>1106</v>
      </c>
      <c r="B9" s="129" t="s">
        <v>249</v>
      </c>
      <c r="C9" s="102">
        <v>1</v>
      </c>
    </row>
    <row r="11" spans="1:4">
      <c r="A11" s="62" t="s">
        <v>1087</v>
      </c>
    </row>
    <row r="12" spans="1:4">
      <c r="A12" s="62"/>
    </row>
    <row r="13" spans="1:4" ht="30">
      <c r="A13" s="7" t="s">
        <v>1088</v>
      </c>
      <c r="B13" s="129" t="s">
        <v>125</v>
      </c>
      <c r="C13" s="130">
        <f>C5-110</f>
        <v>681</v>
      </c>
    </row>
    <row r="14" spans="1:4" ht="30">
      <c r="A14" s="7" t="s">
        <v>1089</v>
      </c>
      <c r="B14" s="129" t="s">
        <v>125</v>
      </c>
      <c r="C14" s="101">
        <v>60</v>
      </c>
      <c r="D14" s="240"/>
    </row>
    <row r="16" spans="1:4">
      <c r="A16" s="7" t="s">
        <v>1093</v>
      </c>
      <c r="B16" s="129" t="s">
        <v>113</v>
      </c>
      <c r="C16" s="102">
        <v>8</v>
      </c>
    </row>
    <row r="17" spans="1:5" ht="90">
      <c r="A17" s="131" t="s">
        <v>1094</v>
      </c>
      <c r="B17" s="142"/>
      <c r="C17" s="103">
        <v>1</v>
      </c>
    </row>
    <row r="18" spans="1:5">
      <c r="A18" s="131" t="s">
        <v>1095</v>
      </c>
      <c r="B18" s="129" t="s">
        <v>762</v>
      </c>
      <c r="C18" s="180">
        <f>f_b_003_f_72_LambdaMaterial(C17,C14)</f>
        <v>53.008000000000003</v>
      </c>
    </row>
    <row r="19" spans="1:5" s="66" customFormat="1">
      <c r="A19" s="152"/>
      <c r="B19" s="150"/>
      <c r="C19" s="112"/>
    </row>
    <row r="20" spans="1:5">
      <c r="A20" s="7" t="s">
        <v>1090</v>
      </c>
      <c r="C20" s="102">
        <v>1</v>
      </c>
    </row>
    <row r="21" spans="1:5" ht="30">
      <c r="A21" s="7" t="s">
        <v>1091</v>
      </c>
      <c r="B21" s="129" t="s">
        <v>125</v>
      </c>
      <c r="C21" s="241">
        <f ca="1">C37</f>
        <v>44.962162631589308</v>
      </c>
      <c r="D21" s="66"/>
      <c r="E21" t="s">
        <v>1092</v>
      </c>
    </row>
    <row r="22" spans="1:5">
      <c r="A22" s="7" t="s">
        <v>1096</v>
      </c>
      <c r="B22" s="129" t="s">
        <v>125</v>
      </c>
      <c r="C22" s="205">
        <f ca="1">0.5*(C21+C13)</f>
        <v>362.98108131579465</v>
      </c>
      <c r="D22" s="66"/>
    </row>
    <row r="23" spans="1:5">
      <c r="A23" s="7" t="s">
        <v>1097</v>
      </c>
      <c r="B23" s="129" t="s">
        <v>113</v>
      </c>
      <c r="C23" s="102">
        <v>300</v>
      </c>
      <c r="D23" s="66"/>
    </row>
    <row r="24" spans="1:5">
      <c r="A24" s="7" t="s">
        <v>1144</v>
      </c>
      <c r="C24" s="102">
        <v>123</v>
      </c>
    </row>
    <row r="25" spans="1:5">
      <c r="A25" s="7" t="s">
        <v>1098</v>
      </c>
      <c r="B25" s="129" t="s">
        <v>762</v>
      </c>
      <c r="C25" s="181">
        <f ca="1">f_b_003_f_72_LambdaMaterial(C24,C22)</f>
        <v>0.20629810813157948</v>
      </c>
    </row>
    <row r="26" spans="1:5">
      <c r="A26" s="7" t="s">
        <v>1099</v>
      </c>
      <c r="B26" s="129" t="s">
        <v>125</v>
      </c>
      <c r="C26" s="205">
        <f ca="1">0.5*(C21+C14)</f>
        <v>52.481081315794654</v>
      </c>
    </row>
    <row r="27" spans="1:5">
      <c r="A27" s="7" t="s">
        <v>1100</v>
      </c>
      <c r="B27" s="129" t="s">
        <v>113</v>
      </c>
      <c r="C27" s="102">
        <v>0</v>
      </c>
    </row>
    <row r="28" spans="1:5">
      <c r="A28" s="7" t="s">
        <v>1145</v>
      </c>
      <c r="C28" s="102">
        <v>123</v>
      </c>
    </row>
    <row r="29" spans="1:5">
      <c r="A29" s="7" t="s">
        <v>1101</v>
      </c>
      <c r="B29" s="129" t="s">
        <v>762</v>
      </c>
      <c r="C29" s="181">
        <f ca="1">f_b_003_f_72_LambdaMaterial(C28,C26)</f>
        <v>0.2</v>
      </c>
    </row>
    <row r="31" spans="1:5" ht="45">
      <c r="A31" s="7" t="s">
        <v>1104</v>
      </c>
      <c r="B31" s="129" t="s">
        <v>580</v>
      </c>
      <c r="C31" s="130">
        <f>f_b_003_f_73_Alfa_e(C13)</f>
        <v>44.72</v>
      </c>
    </row>
    <row r="32" spans="1:5" ht="75">
      <c r="A32" s="131" t="s">
        <v>1105</v>
      </c>
      <c r="B32" s="129" t="s">
        <v>580</v>
      </c>
      <c r="C32" s="130">
        <f>5.8+11.6*(C9)^0.5</f>
        <v>17.399999999999999</v>
      </c>
    </row>
    <row r="34" spans="1:4">
      <c r="A34" s="7" t="s">
        <v>1102</v>
      </c>
      <c r="B34" s="129" t="s">
        <v>1103</v>
      </c>
      <c r="C34" s="116">
        <f ca="1">(C13-C4)/(C16/1000/C18+C23/1000/C25+C27/1000/C29+1/C31+1/C32)</f>
        <v>424.32820152052028</v>
      </c>
    </row>
    <row r="36" spans="1:4" ht="30">
      <c r="A36" s="7" t="s">
        <v>1113</v>
      </c>
      <c r="B36" s="129" t="s">
        <v>125</v>
      </c>
      <c r="C36" s="116">
        <f ca="1">C13-C34*(1/C31)</f>
        <v>671.51144450982736</v>
      </c>
    </row>
    <row r="37" spans="1:4" ht="30">
      <c r="A37" s="7" t="s">
        <v>1108</v>
      </c>
      <c r="B37" s="129" t="s">
        <v>125</v>
      </c>
      <c r="C37" s="116">
        <f ca="1">C36-C34*(C23/1000/C25+1/C31)</f>
        <v>44.962162631589308</v>
      </c>
      <c r="D37" s="240"/>
    </row>
    <row r="38" spans="1:4" ht="30">
      <c r="A38" s="7" t="s">
        <v>1107</v>
      </c>
      <c r="B38" s="129" t="s">
        <v>125</v>
      </c>
      <c r="C38" s="116">
        <f ca="1">C36-C34*(C16/1000/C18+C23/1000/C25+C27/1000/C29+1/C31)</f>
        <v>44.898122758133127</v>
      </c>
    </row>
    <row r="41" spans="1:4">
      <c r="A41" s="62" t="s">
        <v>1109</v>
      </c>
    </row>
    <row r="43" spans="1:4" ht="30">
      <c r="A43" s="7" t="s">
        <v>1088</v>
      </c>
      <c r="B43" s="129" t="s">
        <v>125</v>
      </c>
      <c r="C43" s="130">
        <f>(C5+C8)/2+55</f>
        <v>689.5</v>
      </c>
    </row>
    <row r="44" spans="1:4" ht="30">
      <c r="A44" s="7" t="s">
        <v>1089</v>
      </c>
      <c r="B44" s="129" t="s">
        <v>125</v>
      </c>
      <c r="C44" s="101">
        <v>60</v>
      </c>
      <c r="D44" s="240"/>
    </row>
    <row r="46" spans="1:4">
      <c r="A46" s="7" t="s">
        <v>1093</v>
      </c>
      <c r="B46" s="129" t="s">
        <v>113</v>
      </c>
      <c r="C46" s="102">
        <v>6</v>
      </c>
    </row>
    <row r="47" spans="1:4" ht="90">
      <c r="A47" s="131" t="s">
        <v>1094</v>
      </c>
      <c r="B47" s="142"/>
      <c r="C47" s="103">
        <v>1</v>
      </c>
    </row>
    <row r="48" spans="1:4">
      <c r="A48" s="131" t="s">
        <v>1095</v>
      </c>
      <c r="B48" s="129" t="s">
        <v>762</v>
      </c>
      <c r="C48" s="180">
        <f>f_b_003_f_72_LambdaMaterial(C47,C44)</f>
        <v>53.008000000000003</v>
      </c>
    </row>
    <row r="49" spans="1:4" s="66" customFormat="1">
      <c r="A49" s="152"/>
      <c r="B49" s="150"/>
      <c r="C49" s="112"/>
    </row>
    <row r="50" spans="1:4">
      <c r="A50" s="7" t="s">
        <v>1090</v>
      </c>
      <c r="C50" s="102">
        <v>1</v>
      </c>
    </row>
    <row r="51" spans="1:4" ht="30">
      <c r="A51" s="7" t="s">
        <v>1091</v>
      </c>
      <c r="B51" s="129" t="s">
        <v>125</v>
      </c>
      <c r="C51" s="241">
        <f ca="1">C67</f>
        <v>52.540677887858806</v>
      </c>
      <c r="D51" s="66"/>
    </row>
    <row r="52" spans="1:4">
      <c r="A52" s="7" t="s">
        <v>1096</v>
      </c>
      <c r="B52" s="129" t="s">
        <v>125</v>
      </c>
      <c r="C52" s="205">
        <f ca="1">0.5*(C51+C43)</f>
        <v>371.0203389439294</v>
      </c>
      <c r="D52" s="66"/>
    </row>
    <row r="53" spans="1:4">
      <c r="A53" s="7" t="s">
        <v>1097</v>
      </c>
      <c r="B53" s="129" t="s">
        <v>113</v>
      </c>
      <c r="C53" s="102">
        <v>200</v>
      </c>
      <c r="D53" s="66"/>
    </row>
    <row r="54" spans="1:4">
      <c r="A54" s="7" t="s">
        <v>1144</v>
      </c>
      <c r="C54" s="102">
        <v>123</v>
      </c>
    </row>
    <row r="55" spans="1:4">
      <c r="A55" s="7" t="s">
        <v>1098</v>
      </c>
      <c r="B55" s="129" t="s">
        <v>762</v>
      </c>
      <c r="C55" s="181">
        <f ca="1">f_b_003_f_72_LambdaMaterial(C54,C52)</f>
        <v>0.20710203389439294</v>
      </c>
    </row>
    <row r="56" spans="1:4">
      <c r="A56" s="7" t="s">
        <v>1099</v>
      </c>
      <c r="B56" s="129" t="s">
        <v>125</v>
      </c>
      <c r="C56" s="205">
        <f ca="1">0.5*(C51+C44)</f>
        <v>56.270338943929403</v>
      </c>
    </row>
    <row r="57" spans="1:4">
      <c r="A57" s="7" t="s">
        <v>1100</v>
      </c>
      <c r="B57" s="129" t="s">
        <v>113</v>
      </c>
      <c r="C57" s="102">
        <v>0</v>
      </c>
    </row>
    <row r="58" spans="1:4">
      <c r="A58" s="7" t="s">
        <v>1145</v>
      </c>
      <c r="C58" s="102">
        <v>123</v>
      </c>
    </row>
    <row r="59" spans="1:4">
      <c r="A59" s="7" t="s">
        <v>1101</v>
      </c>
      <c r="B59" s="129" t="s">
        <v>762</v>
      </c>
      <c r="C59" s="181">
        <f ca="1">f_b_003_f_72_LambdaMaterial(C58,C56)</f>
        <v>0.2</v>
      </c>
    </row>
    <row r="61" spans="1:4" ht="45">
      <c r="A61" s="7" t="s">
        <v>1104</v>
      </c>
      <c r="B61" s="129" t="s">
        <v>580</v>
      </c>
      <c r="C61" s="130">
        <f>f_b_003_f_73_Alfa_e(C43)</f>
        <v>45.739999999999995</v>
      </c>
    </row>
    <row r="62" spans="1:4" ht="75">
      <c r="A62" s="131" t="s">
        <v>1105</v>
      </c>
      <c r="B62" s="129" t="s">
        <v>580</v>
      </c>
      <c r="C62" s="130">
        <f>5.8+11.6*(C9)^0.5</f>
        <v>17.399999999999999</v>
      </c>
    </row>
    <row r="64" spans="1:4">
      <c r="A64" s="7" t="s">
        <v>1102</v>
      </c>
      <c r="B64" s="129" t="s">
        <v>1103</v>
      </c>
      <c r="C64" s="116">
        <f ca="1">(C43-C4)/(C46/1000/C48+C53/1000/C55+C57/1000/C59+1/C61+1/C62)</f>
        <v>631.00705445475819</v>
      </c>
    </row>
    <row r="66" spans="1:4" ht="30">
      <c r="A66" s="7" t="s">
        <v>1113</v>
      </c>
      <c r="B66" s="129" t="s">
        <v>125</v>
      </c>
      <c r="C66" s="116">
        <f ca="1">C43-C64*(1/C61)</f>
        <v>675.70448066342897</v>
      </c>
    </row>
    <row r="67" spans="1:4" ht="30">
      <c r="A67" s="7" t="s">
        <v>1108</v>
      </c>
      <c r="B67" s="129" t="s">
        <v>125</v>
      </c>
      <c r="C67" s="116">
        <f ca="1">C66-C64*(C53/1000/C55+1/C61)</f>
        <v>52.540677887858806</v>
      </c>
      <c r="D67" s="240"/>
    </row>
    <row r="68" spans="1:4" ht="30">
      <c r="A68" s="7" t="s">
        <v>1107</v>
      </c>
      <c r="B68" s="129" t="s">
        <v>125</v>
      </c>
      <c r="C68" s="116">
        <f ca="1">C66-C64*(C46/1000/C48+C53/1000/C55+C57/1000/C59+1/C61)</f>
        <v>52.469253907955249</v>
      </c>
    </row>
    <row r="71" spans="1:4" ht="30">
      <c r="A71" s="62" t="s">
        <v>1110</v>
      </c>
    </row>
    <row r="73" spans="1:4" ht="30">
      <c r="A73" s="7" t="s">
        <v>1088</v>
      </c>
      <c r="B73" s="129" t="s">
        <v>125</v>
      </c>
      <c r="C73" s="130">
        <f>C5</f>
        <v>791</v>
      </c>
    </row>
    <row r="74" spans="1:4" ht="30">
      <c r="A74" s="7" t="s">
        <v>1089</v>
      </c>
      <c r="B74" s="129" t="s">
        <v>125</v>
      </c>
      <c r="C74" s="101">
        <v>60</v>
      </c>
      <c r="D74" s="240"/>
    </row>
    <row r="76" spans="1:4">
      <c r="A76" s="7" t="s">
        <v>1093</v>
      </c>
      <c r="B76" s="129" t="s">
        <v>113</v>
      </c>
      <c r="C76" s="102">
        <v>6</v>
      </c>
    </row>
    <row r="77" spans="1:4" ht="90">
      <c r="A77" s="131" t="s">
        <v>1094</v>
      </c>
      <c r="B77" s="142"/>
      <c r="C77" s="103">
        <v>1</v>
      </c>
    </row>
    <row r="78" spans="1:4">
      <c r="A78" s="131" t="s">
        <v>1095</v>
      </c>
      <c r="B78" s="129" t="s">
        <v>762</v>
      </c>
      <c r="C78" s="180">
        <f>f_b_003_f_72_LambdaMaterial(C77,C74)</f>
        <v>53.008000000000003</v>
      </c>
    </row>
    <row r="79" spans="1:4" s="66" customFormat="1">
      <c r="A79" s="152"/>
      <c r="B79" s="150"/>
      <c r="C79" s="112"/>
    </row>
    <row r="80" spans="1:4">
      <c r="A80" s="7" t="s">
        <v>1090</v>
      </c>
      <c r="C80" s="102">
        <v>1</v>
      </c>
    </row>
    <row r="81" spans="1:4" ht="30">
      <c r="A81" s="7" t="s">
        <v>1091</v>
      </c>
      <c r="B81" s="129" t="s">
        <v>125</v>
      </c>
      <c r="C81" s="241">
        <f ca="1">C97</f>
        <v>55.363036679460834</v>
      </c>
      <c r="D81" s="66"/>
    </row>
    <row r="82" spans="1:4">
      <c r="A82" s="7" t="s">
        <v>1096</v>
      </c>
      <c r="B82" s="129" t="s">
        <v>125</v>
      </c>
      <c r="C82" s="205">
        <f ca="1">0.5*(C81+C73)</f>
        <v>423.18151833973042</v>
      </c>
      <c r="D82" s="66"/>
    </row>
    <row r="83" spans="1:4">
      <c r="A83" s="7" t="s">
        <v>1097</v>
      </c>
      <c r="B83" s="129" t="s">
        <v>113</v>
      </c>
      <c r="C83" s="102">
        <v>250</v>
      </c>
      <c r="D83" s="66"/>
    </row>
    <row r="84" spans="1:4">
      <c r="A84" s="7" t="s">
        <v>1144</v>
      </c>
      <c r="C84" s="102">
        <v>123</v>
      </c>
    </row>
    <row r="85" spans="1:4">
      <c r="A85" s="7" t="s">
        <v>1098</v>
      </c>
      <c r="B85" s="129" t="s">
        <v>762</v>
      </c>
      <c r="C85" s="181">
        <f ca="1">f_b_003_f_72_LambdaMaterial(C84,C82)</f>
        <v>0.21231815183397304</v>
      </c>
    </row>
    <row r="86" spans="1:4">
      <c r="A86" s="7" t="s">
        <v>1099</v>
      </c>
      <c r="B86" s="129" t="s">
        <v>125</v>
      </c>
      <c r="C86" s="205">
        <f ca="1">0.5*(C81+C74)</f>
        <v>57.681518339730417</v>
      </c>
    </row>
    <row r="87" spans="1:4">
      <c r="A87" s="7" t="s">
        <v>1100</v>
      </c>
      <c r="B87" s="129" t="s">
        <v>113</v>
      </c>
      <c r="C87" s="102">
        <v>0</v>
      </c>
    </row>
    <row r="88" spans="1:4">
      <c r="A88" s="7" t="s">
        <v>1145</v>
      </c>
      <c r="C88" s="102">
        <v>123</v>
      </c>
    </row>
    <row r="89" spans="1:4">
      <c r="A89" s="7" t="s">
        <v>1101</v>
      </c>
      <c r="B89" s="129" t="s">
        <v>762</v>
      </c>
      <c r="C89" s="181">
        <f ca="1">f_b_003_f_72_LambdaMaterial(C88,C86)</f>
        <v>0.2</v>
      </c>
    </row>
    <row r="91" spans="1:4" ht="45">
      <c r="A91" s="7" t="s">
        <v>1104</v>
      </c>
      <c r="B91" s="129" t="s">
        <v>580</v>
      </c>
      <c r="C91" s="130">
        <f>f_b_003_f_73_Alfa_e(C73)</f>
        <v>62.924999999999997</v>
      </c>
    </row>
    <row r="92" spans="1:4" ht="75">
      <c r="A92" s="131" t="s">
        <v>1105</v>
      </c>
      <c r="B92" s="129" t="s">
        <v>580</v>
      </c>
      <c r="C92" s="130">
        <f>5.8+11.6*(C9)^0.5</f>
        <v>17.399999999999999</v>
      </c>
    </row>
    <row r="94" spans="1:4">
      <c r="A94" s="7" t="s">
        <v>1102</v>
      </c>
      <c r="B94" s="129" t="s">
        <v>1103</v>
      </c>
      <c r="C94" s="116">
        <f ca="1">(C73-C4)/(C76/1000/C78+C83/1000/C85+C87/1000/C89+1/C91+1/C92)</f>
        <v>608.33542054145869</v>
      </c>
    </row>
    <row r="96" spans="1:4" ht="30">
      <c r="A96" s="7" t="s">
        <v>1113</v>
      </c>
      <c r="B96" s="129" t="s">
        <v>125</v>
      </c>
      <c r="C96" s="116">
        <f ca="1">C73-C94*(1/C91)</f>
        <v>781.33237313402526</v>
      </c>
    </row>
    <row r="97" spans="1:4" ht="30">
      <c r="A97" s="7" t="s">
        <v>1108</v>
      </c>
      <c r="B97" s="129" t="s">
        <v>125</v>
      </c>
      <c r="C97" s="116">
        <f ca="1">C96-C94*(C83/1000/C85+1/C91)</f>
        <v>55.363036679460834</v>
      </c>
      <c r="D97" s="240"/>
    </row>
    <row r="98" spans="1:4" ht="30">
      <c r="A98" s="7" t="s">
        <v>1107</v>
      </c>
      <c r="B98" s="129" t="s">
        <v>125</v>
      </c>
      <c r="C98" s="116">
        <f ca="1">C96-C94*(C76/1000/C78+C83/1000/C85+C87/1000/C89+1/C91)</f>
        <v>55.294178912270127</v>
      </c>
    </row>
    <row r="101" spans="1:4">
      <c r="A101" s="62" t="s">
        <v>1111</v>
      </c>
    </row>
    <row r="103" spans="1:4" ht="30">
      <c r="A103" s="7" t="s">
        <v>1088</v>
      </c>
      <c r="B103" s="129" t="s">
        <v>125</v>
      </c>
      <c r="C103" s="130">
        <f>MAX(C5-110,0.5*(C5+C6))</f>
        <v>683</v>
      </c>
    </row>
    <row r="104" spans="1:4" ht="30">
      <c r="A104" s="7" t="s">
        <v>1089</v>
      </c>
      <c r="B104" s="129" t="s">
        <v>125</v>
      </c>
      <c r="C104" s="101">
        <v>60</v>
      </c>
      <c r="D104" s="240"/>
    </row>
    <row r="106" spans="1:4">
      <c r="A106" s="7" t="s">
        <v>1093</v>
      </c>
      <c r="B106" s="129" t="s">
        <v>113</v>
      </c>
      <c r="C106" s="102">
        <v>6</v>
      </c>
    </row>
    <row r="107" spans="1:4" ht="90">
      <c r="A107" s="131" t="s">
        <v>1094</v>
      </c>
      <c r="B107" s="142"/>
      <c r="C107" s="103">
        <v>1</v>
      </c>
    </row>
    <row r="108" spans="1:4">
      <c r="A108" s="131" t="s">
        <v>1095</v>
      </c>
      <c r="B108" s="129" t="s">
        <v>762</v>
      </c>
      <c r="C108" s="180">
        <f>f_b_003_f_72_LambdaMaterial(C107,C104)</f>
        <v>53.008000000000003</v>
      </c>
    </row>
    <row r="109" spans="1:4" s="66" customFormat="1">
      <c r="A109" s="152"/>
      <c r="B109" s="150"/>
      <c r="C109" s="112"/>
    </row>
    <row r="110" spans="1:4">
      <c r="A110" s="7" t="s">
        <v>1090</v>
      </c>
      <c r="C110" s="102">
        <v>1</v>
      </c>
    </row>
    <row r="111" spans="1:4" ht="30">
      <c r="A111" s="7" t="s">
        <v>1091</v>
      </c>
      <c r="B111" s="129" t="s">
        <v>125</v>
      </c>
      <c r="C111" s="241">
        <f ca="1">C127</f>
        <v>58.698803124843607</v>
      </c>
      <c r="D111" s="66"/>
    </row>
    <row r="112" spans="1:4">
      <c r="A112" s="7" t="s">
        <v>1096</v>
      </c>
      <c r="B112" s="129" t="s">
        <v>125</v>
      </c>
      <c r="C112" s="205">
        <f ca="1">0.5*(C111+C103)</f>
        <v>370.8494015624218</v>
      </c>
      <c r="D112" s="66"/>
    </row>
    <row r="113" spans="1:4">
      <c r="A113" s="7" t="s">
        <v>1097</v>
      </c>
      <c r="B113" s="129" t="s">
        <v>113</v>
      </c>
      <c r="C113" s="102">
        <v>150</v>
      </c>
      <c r="D113" s="66"/>
    </row>
    <row r="114" spans="1:4">
      <c r="A114" s="7" t="s">
        <v>1144</v>
      </c>
      <c r="C114" s="102">
        <v>123</v>
      </c>
    </row>
    <row r="115" spans="1:4">
      <c r="A115" s="7" t="s">
        <v>1098</v>
      </c>
      <c r="B115" s="129" t="s">
        <v>762</v>
      </c>
      <c r="C115" s="181">
        <f ca="1">f_b_003_f_72_LambdaMaterial(C114,C112)</f>
        <v>0.20708494015624218</v>
      </c>
    </row>
    <row r="116" spans="1:4">
      <c r="A116" s="7" t="s">
        <v>1099</v>
      </c>
      <c r="B116" s="129" t="s">
        <v>125</v>
      </c>
      <c r="C116" s="205">
        <f ca="1">0.5*(C111+C104)</f>
        <v>59.349401562421804</v>
      </c>
    </row>
    <row r="117" spans="1:4">
      <c r="A117" s="7" t="s">
        <v>1100</v>
      </c>
      <c r="B117" s="129" t="s">
        <v>113</v>
      </c>
      <c r="C117" s="102">
        <v>0</v>
      </c>
    </row>
    <row r="118" spans="1:4">
      <c r="A118" s="7" t="s">
        <v>1145</v>
      </c>
      <c r="C118" s="102">
        <v>123</v>
      </c>
    </row>
    <row r="119" spans="1:4">
      <c r="A119" s="7" t="s">
        <v>1101</v>
      </c>
      <c r="B119" s="129" t="s">
        <v>762</v>
      </c>
      <c r="C119" s="181">
        <f ca="1">f_b_003_f_72_LambdaMaterial(C118,C116)</f>
        <v>0.2</v>
      </c>
    </row>
    <row r="121" spans="1:4" ht="45">
      <c r="A121" s="7" t="s">
        <v>1104</v>
      </c>
      <c r="B121" s="129" t="s">
        <v>580</v>
      </c>
      <c r="C121" s="130">
        <f>f_b_003_f_73_Alfa_e(C103)</f>
        <v>44.96</v>
      </c>
    </row>
    <row r="122" spans="1:4" ht="75">
      <c r="A122" s="131" t="s">
        <v>1105</v>
      </c>
      <c r="B122" s="129" t="s">
        <v>580</v>
      </c>
      <c r="C122" s="130">
        <f>5.8+11.6*(C9)^0.5</f>
        <v>17.399999999999999</v>
      </c>
    </row>
    <row r="124" spans="1:4">
      <c r="A124" s="7" t="s">
        <v>1102</v>
      </c>
      <c r="B124" s="129" t="s">
        <v>1103</v>
      </c>
      <c r="C124" s="116">
        <f ca="1">(C103-C4)/(C106/1000/C108+C113/1000/C115+C117/1000/C119+1/C121+1/C122)</f>
        <v>812.02048594755865</v>
      </c>
    </row>
    <row r="126" spans="1:4" ht="30">
      <c r="A126" s="7" t="s">
        <v>1113</v>
      </c>
      <c r="B126" s="129" t="s">
        <v>125</v>
      </c>
      <c r="C126" s="116">
        <f ca="1">C103-C124*(1/C121)</f>
        <v>664.93904613105963</v>
      </c>
    </row>
    <row r="127" spans="1:4" ht="30">
      <c r="A127" s="7" t="s">
        <v>1108</v>
      </c>
      <c r="B127" s="129" t="s">
        <v>125</v>
      </c>
      <c r="C127" s="116">
        <f ca="1">C126-C124*(C113/1000/C115+1/C121)</f>
        <v>58.698803124843607</v>
      </c>
      <c r="D127" s="240"/>
    </row>
    <row r="128" spans="1:4" ht="30">
      <c r="A128" s="7" t="s">
        <v>1107</v>
      </c>
      <c r="B128" s="129" t="s">
        <v>125</v>
      </c>
      <c r="C128" s="116">
        <f ca="1">C126-C124*(C106/1000/C108+C113/1000/C115+C117/1000/C119+1/C121)</f>
        <v>58.606890151034236</v>
      </c>
    </row>
    <row r="131" spans="1:4">
      <c r="A131" s="62" t="s">
        <v>1112</v>
      </c>
    </row>
    <row r="133" spans="1:4" ht="30">
      <c r="A133" s="7" t="s">
        <v>1088</v>
      </c>
      <c r="B133" s="129" t="s">
        <v>125</v>
      </c>
      <c r="C133" s="130">
        <f>0.5*(C6+C7)</f>
        <v>465</v>
      </c>
    </row>
    <row r="134" spans="1:4" ht="30">
      <c r="A134" s="7" t="s">
        <v>1089</v>
      </c>
      <c r="B134" s="129" t="s">
        <v>125</v>
      </c>
      <c r="C134" s="101">
        <v>60</v>
      </c>
      <c r="D134" s="240"/>
    </row>
    <row r="136" spans="1:4">
      <c r="A136" s="7" t="s">
        <v>1093</v>
      </c>
      <c r="B136" s="129" t="s">
        <v>113</v>
      </c>
      <c r="C136" s="102">
        <v>6</v>
      </c>
    </row>
    <row r="137" spans="1:4" ht="90">
      <c r="A137" s="131" t="s">
        <v>1094</v>
      </c>
      <c r="B137" s="142"/>
      <c r="C137" s="103">
        <v>1</v>
      </c>
    </row>
    <row r="138" spans="1:4">
      <c r="A138" s="131" t="s">
        <v>1095</v>
      </c>
      <c r="B138" s="129" t="s">
        <v>762</v>
      </c>
      <c r="C138" s="180">
        <f>f_b_003_f_72_LambdaMaterial(C137,C134)</f>
        <v>53.008000000000003</v>
      </c>
    </row>
    <row r="139" spans="1:4" s="66" customFormat="1">
      <c r="A139" s="152"/>
      <c r="B139" s="150"/>
      <c r="C139" s="112"/>
    </row>
    <row r="140" spans="1:4">
      <c r="A140" s="7" t="s">
        <v>1090</v>
      </c>
      <c r="C140" s="102">
        <v>1</v>
      </c>
    </row>
    <row r="141" spans="1:4" ht="30">
      <c r="A141" s="7" t="s">
        <v>1091</v>
      </c>
      <c r="B141" s="129" t="s">
        <v>125</v>
      </c>
      <c r="C141" s="241">
        <f ca="1">C157</f>
        <v>39.545947628539238</v>
      </c>
      <c r="D141" s="66"/>
    </row>
    <row r="142" spans="1:4">
      <c r="A142" s="7" t="s">
        <v>1096</v>
      </c>
      <c r="B142" s="129" t="s">
        <v>125</v>
      </c>
      <c r="C142" s="205">
        <f ca="1">0.5*(C141+C133)</f>
        <v>252.27297381426962</v>
      </c>
      <c r="D142" s="66"/>
    </row>
    <row r="143" spans="1:4">
      <c r="A143" s="7" t="s">
        <v>1097</v>
      </c>
      <c r="B143" s="129" t="s">
        <v>113</v>
      </c>
      <c r="C143" s="102">
        <v>75</v>
      </c>
      <c r="D143" s="66"/>
    </row>
    <row r="144" spans="1:4">
      <c r="A144" s="7" t="s">
        <v>1144</v>
      </c>
      <c r="C144" s="102">
        <v>123</v>
      </c>
    </row>
    <row r="145" spans="1:4">
      <c r="A145" s="7" t="s">
        <v>1098</v>
      </c>
      <c r="B145" s="129" t="s">
        <v>762</v>
      </c>
      <c r="C145" s="181">
        <f ca="1">f_b_003_f_72_LambdaMaterial(C144,C142)</f>
        <v>0.2</v>
      </c>
    </row>
    <row r="146" spans="1:4">
      <c r="A146" s="7" t="s">
        <v>1099</v>
      </c>
      <c r="B146" s="129" t="s">
        <v>125</v>
      </c>
      <c r="C146" s="205">
        <f ca="1">0.5*(C141+C134)</f>
        <v>49.772973814269619</v>
      </c>
    </row>
    <row r="147" spans="1:4">
      <c r="A147" s="7" t="s">
        <v>1100</v>
      </c>
      <c r="B147" s="129" t="s">
        <v>113</v>
      </c>
      <c r="C147" s="102">
        <v>0</v>
      </c>
    </row>
    <row r="148" spans="1:4">
      <c r="A148" s="7" t="s">
        <v>1145</v>
      </c>
      <c r="C148" s="102">
        <v>123</v>
      </c>
    </row>
    <row r="149" spans="1:4">
      <c r="A149" s="7" t="s">
        <v>1101</v>
      </c>
      <c r="B149" s="129" t="s">
        <v>762</v>
      </c>
      <c r="C149" s="181">
        <f ca="1">f_b_003_f_72_LambdaMaterial(C148,C146)</f>
        <v>0.2</v>
      </c>
    </row>
    <row r="151" spans="1:4" ht="45">
      <c r="A151" s="7" t="s">
        <v>1104</v>
      </c>
      <c r="B151" s="129" t="s">
        <v>580</v>
      </c>
      <c r="C151" s="130">
        <f>f_b_003_f_73_Alfa_e(C133)</f>
        <v>21.25</v>
      </c>
    </row>
    <row r="152" spans="1:4" ht="75">
      <c r="A152" s="131" t="s">
        <v>1105</v>
      </c>
      <c r="B152" s="129" t="s">
        <v>580</v>
      </c>
      <c r="C152" s="130">
        <f>5.8+11.6*(C9)^0.5</f>
        <v>17.399999999999999</v>
      </c>
    </row>
    <row r="154" spans="1:4">
      <c r="A154" s="7" t="s">
        <v>1102</v>
      </c>
      <c r="B154" s="129" t="s">
        <v>1103</v>
      </c>
      <c r="C154" s="116">
        <f ca="1">(C133-C4)/(C136/1000/C138+C143/1000/C145+C147/1000/C149+1/C151+1/C152)</f>
        <v>906.92399878555909</v>
      </c>
    </row>
    <row r="156" spans="1:4" ht="30">
      <c r="A156" s="7" t="s">
        <v>1113</v>
      </c>
      <c r="B156" s="129" t="s">
        <v>125</v>
      </c>
      <c r="C156" s="116">
        <f ca="1">C133-C154*(1/C151)</f>
        <v>422.32122358656193</v>
      </c>
    </row>
    <row r="157" spans="1:4" ht="30">
      <c r="A157" s="7" t="s">
        <v>1108</v>
      </c>
      <c r="B157" s="129" t="s">
        <v>125</v>
      </c>
      <c r="C157" s="116">
        <f ca="1">C156-C154*(C143/1000/C145+1/C151)</f>
        <v>39.545947628539238</v>
      </c>
      <c r="D157" s="240"/>
    </row>
    <row r="158" spans="1:4" ht="30">
      <c r="A158" s="7" t="s">
        <v>1107</v>
      </c>
      <c r="B158" s="129" t="s">
        <v>125</v>
      </c>
      <c r="C158" s="116">
        <f ca="1">C156-C154*(C136/1000/C138+C143/1000/C145+C147/1000/C149+1/C151)</f>
        <v>39.443292482283709</v>
      </c>
    </row>
    <row r="161" spans="1:4">
      <c r="A161" s="62" t="s">
        <v>1114</v>
      </c>
    </row>
    <row r="163" spans="1:4" ht="30">
      <c r="A163" s="7" t="s">
        <v>1088</v>
      </c>
      <c r="B163" s="129" t="s">
        <v>125</v>
      </c>
      <c r="C163" s="130">
        <f>C7</f>
        <v>355</v>
      </c>
    </row>
    <row r="164" spans="1:4" ht="30">
      <c r="A164" s="7" t="s">
        <v>1089</v>
      </c>
      <c r="B164" s="129" t="s">
        <v>125</v>
      </c>
      <c r="C164" s="101">
        <v>60</v>
      </c>
      <c r="D164" s="240"/>
    </row>
    <row r="166" spans="1:4">
      <c r="A166" s="7" t="s">
        <v>1093</v>
      </c>
      <c r="B166" s="129" t="s">
        <v>113</v>
      </c>
      <c r="C166" s="102">
        <v>6</v>
      </c>
    </row>
    <row r="167" spans="1:4" ht="90">
      <c r="A167" s="131" t="s">
        <v>1094</v>
      </c>
      <c r="B167" s="142"/>
      <c r="C167" s="103">
        <v>1</v>
      </c>
    </row>
    <row r="168" spans="1:4">
      <c r="A168" s="131" t="s">
        <v>1095</v>
      </c>
      <c r="B168" s="129" t="s">
        <v>762</v>
      </c>
      <c r="C168" s="180">
        <f>f_b_003_f_72_LambdaMaterial(C167,C164)</f>
        <v>53.008000000000003</v>
      </c>
    </row>
    <row r="169" spans="1:4" s="66" customFormat="1">
      <c r="A169" s="152"/>
      <c r="B169" s="150"/>
      <c r="C169" s="112"/>
    </row>
    <row r="170" spans="1:4">
      <c r="A170" s="7" t="s">
        <v>1090</v>
      </c>
      <c r="C170" s="102">
        <v>1</v>
      </c>
    </row>
    <row r="171" spans="1:4" ht="30">
      <c r="A171" s="7" t="s">
        <v>1091</v>
      </c>
      <c r="B171" s="129" t="s">
        <v>125</v>
      </c>
      <c r="C171" s="241">
        <f ca="1">C187</f>
        <v>26.353279947266628</v>
      </c>
      <c r="D171" s="66"/>
    </row>
    <row r="172" spans="1:4">
      <c r="A172" s="7" t="s">
        <v>1096</v>
      </c>
      <c r="B172" s="129" t="s">
        <v>125</v>
      </c>
      <c r="C172" s="205">
        <f ca="1">0.5*(C171+C163)</f>
        <v>190.67663997363331</v>
      </c>
      <c r="D172" s="66"/>
    </row>
    <row r="173" spans="1:4">
      <c r="A173" s="7" t="s">
        <v>1097</v>
      </c>
      <c r="B173" s="129" t="s">
        <v>113</v>
      </c>
      <c r="C173" s="102">
        <v>50</v>
      </c>
      <c r="D173" s="66"/>
    </row>
    <row r="174" spans="1:4">
      <c r="A174" s="7" t="s">
        <v>1144</v>
      </c>
      <c r="C174" s="102">
        <v>123</v>
      </c>
    </row>
    <row r="175" spans="1:4">
      <c r="A175" s="7" t="s">
        <v>1098</v>
      </c>
      <c r="B175" s="129" t="s">
        <v>762</v>
      </c>
      <c r="C175" s="181">
        <f ca="1">f_b_003_f_72_LambdaMaterial(C174,C172)</f>
        <v>0.2</v>
      </c>
    </row>
    <row r="176" spans="1:4">
      <c r="A176" s="7" t="s">
        <v>1099</v>
      </c>
      <c r="B176" s="129" t="s">
        <v>125</v>
      </c>
      <c r="C176" s="205">
        <f ca="1">0.5*(C171+C164)</f>
        <v>43.176639973633314</v>
      </c>
    </row>
    <row r="177" spans="1:4">
      <c r="A177" s="7" t="s">
        <v>1100</v>
      </c>
      <c r="B177" s="129" t="s">
        <v>113</v>
      </c>
      <c r="C177" s="102">
        <v>0</v>
      </c>
    </row>
    <row r="178" spans="1:4">
      <c r="A178" s="7" t="s">
        <v>1145</v>
      </c>
      <c r="C178" s="102">
        <v>123</v>
      </c>
    </row>
    <row r="179" spans="1:4">
      <c r="A179" s="7" t="s">
        <v>1101</v>
      </c>
      <c r="B179" s="129" t="s">
        <v>762</v>
      </c>
      <c r="C179" s="181">
        <f ca="1">f_b_003_f_72_LambdaMaterial(C178,C176)</f>
        <v>0.2</v>
      </c>
    </row>
    <row r="181" spans="1:4" ht="45">
      <c r="A181" s="7" t="s">
        <v>1104</v>
      </c>
      <c r="B181" s="129" t="s">
        <v>580</v>
      </c>
      <c r="C181" s="130">
        <f>f_b_003_f_73_Alfa_e(C163)</f>
        <v>16.2</v>
      </c>
    </row>
    <row r="182" spans="1:4" ht="75">
      <c r="A182" s="131" t="s">
        <v>1105</v>
      </c>
      <c r="B182" s="129" t="s">
        <v>580</v>
      </c>
      <c r="C182" s="130">
        <f>5.8+11.6*(C9)^0.5</f>
        <v>17.399999999999999</v>
      </c>
    </row>
    <row r="184" spans="1:4">
      <c r="A184" s="7" t="s">
        <v>1102</v>
      </c>
      <c r="B184" s="129" t="s">
        <v>1103</v>
      </c>
      <c r="C184" s="116">
        <f ca="1">(C163-C4)/(C166/1000/C168+C173/1000/C175+C177/1000/C179+1/C181+1/C182)</f>
        <v>880.01270493459197</v>
      </c>
    </row>
    <row r="186" spans="1:4" ht="30">
      <c r="A186" s="7" t="s">
        <v>1113</v>
      </c>
      <c r="B186" s="129" t="s">
        <v>125</v>
      </c>
      <c r="C186" s="116">
        <f ca="1">C163-C184*(1/C181)</f>
        <v>300.67822809045731</v>
      </c>
    </row>
    <row r="187" spans="1:4" ht="30">
      <c r="A187" s="7" t="s">
        <v>1108</v>
      </c>
      <c r="B187" s="129" t="s">
        <v>125</v>
      </c>
      <c r="C187" s="116">
        <f ca="1">C186-C184*(C173/1000/C175+1/C181)</f>
        <v>26.353279947266628</v>
      </c>
      <c r="D187" s="240"/>
    </row>
    <row r="188" spans="1:4" ht="30">
      <c r="A188" s="7" t="s">
        <v>1107</v>
      </c>
      <c r="B188" s="129" t="s">
        <v>125</v>
      </c>
      <c r="C188" s="116">
        <f ca="1">C186-C184*(C166/1000/C168+C173/1000/C175+C177/1000/C179+1/C181)</f>
        <v>26.253670902790191</v>
      </c>
    </row>
    <row r="191" spans="1:4" ht="30">
      <c r="A191" s="17" t="s">
        <v>1123</v>
      </c>
    </row>
    <row r="192" spans="1:4" ht="30">
      <c r="A192" s="7" t="s">
        <v>1115</v>
      </c>
      <c r="B192" s="129" t="s">
        <v>113</v>
      </c>
      <c r="C192" s="102">
        <v>40</v>
      </c>
    </row>
    <row r="193" spans="1:3">
      <c r="A193" s="7" t="s">
        <v>1116</v>
      </c>
      <c r="C193" s="102">
        <v>3</v>
      </c>
    </row>
    <row r="194" spans="1:3" ht="30">
      <c r="A194" s="7" t="s">
        <v>1117</v>
      </c>
      <c r="C194" s="102">
        <v>1</v>
      </c>
    </row>
    <row r="195" spans="1:3">
      <c r="A195" s="7" t="s">
        <v>1118</v>
      </c>
      <c r="B195" s="129" t="s">
        <v>113</v>
      </c>
      <c r="C195" s="102">
        <v>1500</v>
      </c>
    </row>
    <row r="196" spans="1:3" ht="30">
      <c r="A196" s="7" t="s">
        <v>1121</v>
      </c>
      <c r="C196" s="128">
        <f>C193*(C195+C192)/(C195+2*C192)</f>
        <v>2.9240506329113924</v>
      </c>
    </row>
    <row r="197" spans="1:3">
      <c r="A197" s="7" t="s">
        <v>1122</v>
      </c>
      <c r="C197" s="128">
        <f>C193</f>
        <v>3</v>
      </c>
    </row>
    <row r="198" spans="1:3">
      <c r="A198" s="7" t="s">
        <v>1119</v>
      </c>
      <c r="C198" s="128">
        <f>IF(C194=1,IF(C196&lt;1,1,C196),C197)</f>
        <v>2.9240506329113924</v>
      </c>
    </row>
    <row r="199" spans="1:3" ht="30">
      <c r="A199" s="7" t="s">
        <v>1120</v>
      </c>
      <c r="B199" s="129" t="s">
        <v>113</v>
      </c>
      <c r="C199" s="116">
        <f>C198*C192</f>
        <v>116.96202531645569</v>
      </c>
    </row>
  </sheetData>
  <conditionalFormatting sqref="C38">
    <cfRule type="cellIs" dxfId="5" priority="6" operator="greaterThan">
      <formula>$C$14</formula>
    </cfRule>
  </conditionalFormatting>
  <conditionalFormatting sqref="C68">
    <cfRule type="cellIs" dxfId="4" priority="5" operator="greaterThan">
      <formula>$C$14</formula>
    </cfRule>
  </conditionalFormatting>
  <conditionalFormatting sqref="C98">
    <cfRule type="cellIs" dxfId="3" priority="4" operator="greaterThan">
      <formula>$C$14</formula>
    </cfRule>
  </conditionalFormatting>
  <conditionalFormatting sqref="C128">
    <cfRule type="cellIs" dxfId="2" priority="3" operator="greaterThan">
      <formula>$C$14</formula>
    </cfRule>
  </conditionalFormatting>
  <conditionalFormatting sqref="C158">
    <cfRule type="cellIs" dxfId="1" priority="2" operator="greaterThan">
      <formula>$C$14</formula>
    </cfRule>
  </conditionalFormatting>
  <conditionalFormatting sqref="C188">
    <cfRule type="cellIs" dxfId="0" priority="1" operator="greaterThan">
      <formula>$C$14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16</vt:i4>
      </vt:variant>
    </vt:vector>
  </HeadingPairs>
  <TitlesOfParts>
    <vt:vector size="42" baseType="lpstr">
      <vt:lpstr>Список функций</vt:lpstr>
      <vt:lpstr>1 Каталог</vt:lpstr>
      <vt:lpstr>2 РТМ 26-02-67-84</vt:lpstr>
      <vt:lpstr>ОЛ Горелки</vt:lpstr>
      <vt:lpstr>Tubes</vt:lpstr>
      <vt:lpstr>Burner</vt:lpstr>
      <vt:lpstr>Fuel</vt:lpstr>
      <vt:lpstr>Stream</vt:lpstr>
      <vt:lpstr>Комплексный подбор змеевика</vt:lpstr>
      <vt:lpstr>Выбор горелок и топки</vt:lpstr>
      <vt:lpstr>ГеомЦилТопки</vt:lpstr>
      <vt:lpstr>Типы расчетов печи</vt:lpstr>
      <vt:lpstr>Расчет печи 1</vt:lpstr>
      <vt:lpstr>Типы расчетов ВП</vt:lpstr>
      <vt:lpstr>Stream 1</vt:lpstr>
      <vt:lpstr>Stream 2</vt:lpstr>
      <vt:lpstr>Расчет ВП 1</vt:lpstr>
      <vt:lpstr>Расчет ВП 2</vt:lpstr>
      <vt:lpstr>Расчет ВП 9</vt:lpstr>
      <vt:lpstr>Расчет ВП 10</vt:lpstr>
      <vt:lpstr>ГеомКорТопки</vt:lpstr>
      <vt:lpstr>Расчет газохода и трубы</vt:lpstr>
      <vt:lpstr>Масса печи расчет</vt:lpstr>
      <vt:lpstr>Масса Печи</vt:lpstr>
      <vt:lpstr>Wсм</vt:lpstr>
      <vt:lpstr>Расчет футеровки</vt:lpstr>
      <vt:lpstr>Tubes!G_mass</vt:lpstr>
      <vt:lpstr>'Комплексный подбор змеевика'!G_mass</vt:lpstr>
      <vt:lpstr>KPZ_Gm</vt:lpstr>
      <vt:lpstr>KPZ_ro1_kz</vt:lpstr>
      <vt:lpstr>KPZ_ro1_r2z</vt:lpstr>
      <vt:lpstr>KPZ_ro1_rz</vt:lpstr>
      <vt:lpstr>KPZ_ro2_kz</vt:lpstr>
      <vt:lpstr>KPZ_ro2_r2z</vt:lpstr>
      <vt:lpstr>KPZ_ro2_rz</vt:lpstr>
      <vt:lpstr>Tubes!ro_Pr</vt:lpstr>
      <vt:lpstr>'Комплексный подбор змеевика'!ro_Pr</vt:lpstr>
      <vt:lpstr>ВыбГор_QFH</vt:lpstr>
      <vt:lpstr>ВыбГор_qдоп_экр</vt:lpstr>
      <vt:lpstr>ВыбГор_TypeBurner</vt:lpstr>
      <vt:lpstr>ВыбГор_TypeFuel</vt:lpstr>
      <vt:lpstr>ТипСжигТопл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Воловиков Виталий Юрьевич</dc:creator>
  <cp:lastModifiedBy>Воловиков Виталий Юрьевич</cp:lastModifiedBy>
  <cp:lastPrinted>2016-09-23T05:26:02Z</cp:lastPrinted>
  <dcterms:created xsi:type="dcterms:W3CDTF">2015-11-10T08:18:15Z</dcterms:created>
  <dcterms:modified xsi:type="dcterms:W3CDTF">2016-10-10T13:23:00Z</dcterms:modified>
</cp:coreProperties>
</file>